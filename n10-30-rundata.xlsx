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er\Documents\Kursseja\Research_Training\Fluid-Drop_Optimizer\"/>
    </mc:Choice>
  </mc:AlternateContent>
  <xr:revisionPtr revIDLastSave="0" documentId="13_ncr:1_{1AF569E9-56FF-4F49-94A9-99C9C6B542AF}" xr6:coauthVersionLast="47" xr6:coauthVersionMax="47" xr10:uidLastSave="{00000000-0000-0000-0000-000000000000}"/>
  <bookViews>
    <workbookView xWindow="-96" yWindow="-96" windowWidth="23232" windowHeight="14592" xr2:uid="{D0E09B27-A212-46D0-A701-3BE87E223BED}"/>
  </bookViews>
  <sheets>
    <sheet name="time-dependence" sheetId="1" r:id="rId1"/>
    <sheet name="errors" sheetId="6" r:id="rId2"/>
    <sheet name="CPU-energy" sheetId="5" r:id="rId3"/>
    <sheet name="CPU-volume" sheetId="4" r:id="rId4"/>
    <sheet name="GPU-energy" sheetId="3" r:id="rId5"/>
    <sheet name="GPU-volume" sheetId="2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5" l="1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</calcChain>
</file>

<file path=xl/sharedStrings.xml><?xml version="1.0" encoding="utf-8"?>
<sst xmlns="http://schemas.openxmlformats.org/spreadsheetml/2006/main" count="92" uniqueCount="21">
  <si>
    <t>Minimizer</t>
  </si>
  <si>
    <t>CPU</t>
  </si>
  <si>
    <t>GPU</t>
  </si>
  <si>
    <t>trust-constr</t>
  </si>
  <si>
    <t>SLSQP</t>
  </si>
  <si>
    <t>Volume</t>
  </si>
  <si>
    <t>Grid Size NxN</t>
  </si>
  <si>
    <t>Speedup</t>
  </si>
  <si>
    <t>Runtime (s)</t>
  </si>
  <si>
    <t>Efficiency, %</t>
  </si>
  <si>
    <t>Energy</t>
  </si>
  <si>
    <t>Input</t>
  </si>
  <si>
    <t>Eq</t>
  </si>
  <si>
    <t>Opt</t>
  </si>
  <si>
    <t>trustconstr</t>
  </si>
  <si>
    <t>Device</t>
  </si>
  <si>
    <t>Droplet Property</t>
  </si>
  <si>
    <t>Diff in rel, to Inp,</t>
  </si>
  <si>
    <t xml:space="preserve">Relative L2 error </t>
  </si>
  <si>
    <t>between optimized / equilibrium droplet "Shape error"</t>
  </si>
  <si>
    <t>Normalized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</si>
</sst>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21A1-608C-426B-96BC-B0717E83B1E1}">
  <dimension ref="A1:M159"/>
  <sheetViews>
    <sheetView tabSelected="1" workbookViewId="0">
      <selection activeCell="F23" sqref="F23"/>
    </sheetView>
  </sheetViews>
  <sheetFormatPr defaultRowHeight="14.4" x14ac:dyDescent="0.55000000000000004"/>
  <cols>
    <col min="1" max="1" width="13.41796875" customWidth="1"/>
    <col min="2" max="2" width="22.3671875" bestFit="1" customWidth="1"/>
    <col min="3" max="3" width="21.89453125" bestFit="1" customWidth="1"/>
    <col min="4" max="4" width="22.3671875" bestFit="1" customWidth="1"/>
    <col min="5" max="5" width="21.89453125" bestFit="1" customWidth="1"/>
    <col min="6" max="6" width="13.62890625" bestFit="1" customWidth="1"/>
    <col min="7" max="7" width="14.578125" bestFit="1" customWidth="1"/>
    <col min="8" max="8" width="13.62890625" bestFit="1" customWidth="1"/>
    <col min="9" max="9" width="14.578125" bestFit="1" customWidth="1"/>
    <col min="10" max="14" width="21.89453125" bestFit="1" customWidth="1"/>
    <col min="15" max="16" width="20.89453125" bestFit="1" customWidth="1"/>
    <col min="17" max="21" width="21.89453125" bestFit="1" customWidth="1"/>
    <col min="22" max="22" width="20.89453125" bestFit="1" customWidth="1"/>
    <col min="23" max="23" width="21.89453125" bestFit="1" customWidth="1"/>
    <col min="24" max="24" width="20.89453125" bestFit="1" customWidth="1"/>
    <col min="25" max="25" width="21.89453125" bestFit="1" customWidth="1"/>
    <col min="36" max="36" width="18.734375" bestFit="1" customWidth="1"/>
    <col min="37" max="37" width="9.7890625" bestFit="1" customWidth="1"/>
    <col min="38" max="38" width="5.9453125" bestFit="1" customWidth="1"/>
    <col min="39" max="39" width="9.7890625" bestFit="1" customWidth="1"/>
    <col min="40" max="40" width="5.9453125" bestFit="1" customWidth="1"/>
  </cols>
  <sheetData>
    <row r="1" spans="1:9" x14ac:dyDescent="0.55000000000000004">
      <c r="A1" t="s">
        <v>8</v>
      </c>
      <c r="B1" t="s">
        <v>4</v>
      </c>
      <c r="D1" t="s">
        <v>3</v>
      </c>
      <c r="F1" t="s">
        <v>7</v>
      </c>
      <c r="H1" t="s">
        <v>9</v>
      </c>
    </row>
    <row r="2" spans="1:9" x14ac:dyDescent="0.55000000000000004">
      <c r="A2" t="s">
        <v>6</v>
      </c>
      <c r="B2" t="s">
        <v>1</v>
      </c>
      <c r="C2" t="s">
        <v>2</v>
      </c>
      <c r="D2" t="s">
        <v>1</v>
      </c>
      <c r="E2" t="s">
        <v>2</v>
      </c>
      <c r="F2" t="s">
        <v>4</v>
      </c>
      <c r="G2" t="s">
        <v>3</v>
      </c>
      <c r="H2" t="s">
        <v>4</v>
      </c>
      <c r="I2" t="s">
        <v>3</v>
      </c>
    </row>
    <row r="3" spans="1:9" x14ac:dyDescent="0.55000000000000004">
      <c r="A3">
        <v>10</v>
      </c>
      <c r="B3" s="1">
        <v>6.0226275920867902</v>
      </c>
      <c r="C3" s="1">
        <v>4.2878990173339799</v>
      </c>
      <c r="D3" s="1">
        <v>246.61536622047399</v>
      </c>
      <c r="E3" s="1">
        <v>165.60856413841199</v>
      </c>
      <c r="F3" s="4">
        <f>B3/C3</f>
        <v>1.4045637660169024</v>
      </c>
      <c r="G3" s="4">
        <f>D3/E3</f>
        <v>1.4891462135639211</v>
      </c>
      <c r="H3" s="4">
        <f>((B3-C3)/B3)*100</f>
        <v>28.803517206212337</v>
      </c>
      <c r="I3" s="4">
        <f>((D3-E3)/D3)*100</f>
        <v>32.847426875112866</v>
      </c>
    </row>
    <row r="4" spans="1:9" x14ac:dyDescent="0.55000000000000004">
      <c r="A4">
        <v>11</v>
      </c>
      <c r="B4" s="1">
        <v>10.7483510971069</v>
      </c>
      <c r="C4" s="1">
        <v>5.5272095203399596</v>
      </c>
      <c r="D4" s="1">
        <v>456.66433119773802</v>
      </c>
      <c r="E4" s="1">
        <v>121.665846824646</v>
      </c>
      <c r="F4" s="4">
        <f t="shared" ref="F4:F23" si="0">B4/C4</f>
        <v>1.9446252322357784</v>
      </c>
      <c r="G4" s="4">
        <f t="shared" ref="G4:G23" si="1">D4/E4</f>
        <v>3.7534307541204814</v>
      </c>
      <c r="H4" s="4">
        <f t="shared" ref="H4:H23" si="2">((B4-C4)/B4)*100</f>
        <v>48.576209779491656</v>
      </c>
      <c r="I4" s="4">
        <f t="shared" ref="I4:I23" si="3">((D4-E4)/D4)*100</f>
        <v>73.357707507932332</v>
      </c>
    </row>
    <row r="5" spans="1:9" x14ac:dyDescent="0.55000000000000004">
      <c r="A5">
        <v>12</v>
      </c>
      <c r="B5" s="1">
        <v>13.9745008945465</v>
      </c>
      <c r="C5" s="1">
        <v>6.9541914463043204</v>
      </c>
      <c r="D5" s="1">
        <v>843.52033209800697</v>
      </c>
      <c r="E5" s="1">
        <v>145.01542377471901</v>
      </c>
      <c r="F5" s="4">
        <f t="shared" si="0"/>
        <v>2.0095076476465135</v>
      </c>
      <c r="G5" s="4">
        <f t="shared" si="1"/>
        <v>5.8167628666066102</v>
      </c>
      <c r="H5" s="4">
        <f t="shared" si="2"/>
        <v>50.236566595246565</v>
      </c>
      <c r="I5" s="4">
        <f t="shared" si="3"/>
        <v>82.808307250397135</v>
      </c>
    </row>
    <row r="6" spans="1:9" x14ac:dyDescent="0.55000000000000004">
      <c r="A6">
        <v>13</v>
      </c>
      <c r="B6" s="1">
        <v>19.378756284713699</v>
      </c>
      <c r="C6" s="1">
        <v>9.3140280246734601</v>
      </c>
      <c r="D6" s="1">
        <v>906.17637252807594</v>
      </c>
      <c r="E6" s="1">
        <v>398.51989054679802</v>
      </c>
      <c r="F6" s="4">
        <f t="shared" si="0"/>
        <v>2.0805988808900002</v>
      </c>
      <c r="G6" s="4">
        <f t="shared" si="1"/>
        <v>2.2738548163423831</v>
      </c>
      <c r="H6" s="4">
        <f t="shared" si="2"/>
        <v>51.936915414842552</v>
      </c>
      <c r="I6" s="4">
        <f t="shared" si="3"/>
        <v>56.021818419851733</v>
      </c>
    </row>
    <row r="7" spans="1:9" x14ac:dyDescent="0.55000000000000004">
      <c r="A7">
        <v>14</v>
      </c>
      <c r="B7" s="1">
        <v>26.166876077651899</v>
      </c>
      <c r="C7" s="1">
        <v>11.6086678504943</v>
      </c>
      <c r="D7" s="1">
        <v>592.18753409385602</v>
      </c>
      <c r="E7" s="1">
        <v>451.82656812667801</v>
      </c>
      <c r="F7" s="4">
        <f t="shared" si="0"/>
        <v>2.2540808656643327</v>
      </c>
      <c r="G7" s="4">
        <f t="shared" si="1"/>
        <v>1.310652307475255</v>
      </c>
      <c r="H7" s="4">
        <f t="shared" si="2"/>
        <v>55.636019309126453</v>
      </c>
      <c r="I7" s="4">
        <f t="shared" si="3"/>
        <v>23.702114260468736</v>
      </c>
    </row>
    <row r="8" spans="1:9" x14ac:dyDescent="0.55000000000000004">
      <c r="A8">
        <v>15</v>
      </c>
      <c r="B8" s="1">
        <v>32.452948570251401</v>
      </c>
      <c r="C8" s="1">
        <v>13.866740465164099</v>
      </c>
      <c r="D8" s="1">
        <v>2883.0835947990399</v>
      </c>
      <c r="E8" s="1">
        <v>352.17867231369002</v>
      </c>
      <c r="F8" s="4">
        <f t="shared" si="0"/>
        <v>2.3403444127175672</v>
      </c>
      <c r="G8" s="4">
        <f t="shared" si="1"/>
        <v>8.1864230331104224</v>
      </c>
      <c r="H8" s="4">
        <f t="shared" si="2"/>
        <v>57.271246293240353</v>
      </c>
      <c r="I8" s="4">
        <f t="shared" si="3"/>
        <v>87.784652760363741</v>
      </c>
    </row>
    <row r="9" spans="1:9" x14ac:dyDescent="0.55000000000000004">
      <c r="A9">
        <v>16</v>
      </c>
      <c r="B9" s="1">
        <v>41.568203926086397</v>
      </c>
      <c r="C9" s="1">
        <v>20.129784345626799</v>
      </c>
      <c r="D9" s="1">
        <v>1295.7176935672701</v>
      </c>
      <c r="E9" s="1">
        <v>323.22115850448603</v>
      </c>
      <c r="F9" s="4">
        <f t="shared" si="0"/>
        <v>2.0650098983855782</v>
      </c>
      <c r="G9" s="4">
        <f t="shared" si="1"/>
        <v>4.0087650807343005</v>
      </c>
      <c r="H9" s="4">
        <f t="shared" si="2"/>
        <v>51.574082004071819</v>
      </c>
      <c r="I9" s="4">
        <f t="shared" si="3"/>
        <v>75.054661975432438</v>
      </c>
    </row>
    <row r="10" spans="1:9" x14ac:dyDescent="0.55000000000000004">
      <c r="A10">
        <v>17</v>
      </c>
      <c r="B10" s="1">
        <v>55.535305500030503</v>
      </c>
      <c r="C10" s="1">
        <v>23.483291864395099</v>
      </c>
      <c r="D10" s="1">
        <v>936.24605870246796</v>
      </c>
      <c r="E10" s="1">
        <v>408.08887743949799</v>
      </c>
      <c r="F10" s="4">
        <f t="shared" si="0"/>
        <v>2.3648858865580098</v>
      </c>
      <c r="G10" s="4">
        <f t="shared" si="1"/>
        <v>2.2942209662189899</v>
      </c>
      <c r="H10" s="4">
        <f t="shared" si="2"/>
        <v>57.714661595978434</v>
      </c>
      <c r="I10" s="4">
        <f t="shared" si="3"/>
        <v>56.41221945381929</v>
      </c>
    </row>
    <row r="11" spans="1:9" x14ac:dyDescent="0.55000000000000004">
      <c r="A11">
        <v>18</v>
      </c>
      <c r="B11" s="1">
        <v>73.232883453369098</v>
      </c>
      <c r="C11" s="1">
        <v>30.460833787917998</v>
      </c>
      <c r="D11" s="1">
        <v>2200.6933565139698</v>
      </c>
      <c r="E11" s="1">
        <v>457.64227485656698</v>
      </c>
      <c r="F11" s="4">
        <f t="shared" si="0"/>
        <v>2.404165426437415</v>
      </c>
      <c r="G11" s="4">
        <f t="shared" si="1"/>
        <v>4.8087632577294244</v>
      </c>
      <c r="H11" s="4">
        <f t="shared" si="2"/>
        <v>58.405524470009595</v>
      </c>
      <c r="I11" s="4">
        <f t="shared" si="3"/>
        <v>79.204632326354655</v>
      </c>
    </row>
    <row r="12" spans="1:9" x14ac:dyDescent="0.55000000000000004">
      <c r="A12">
        <v>19</v>
      </c>
      <c r="B12" s="1">
        <v>89.879241466522203</v>
      </c>
      <c r="C12" s="1">
        <v>34.636988878250101</v>
      </c>
      <c r="D12" s="1">
        <v>2224.64353561401</v>
      </c>
      <c r="E12" s="1">
        <v>654.78269457816998</v>
      </c>
      <c r="F12" s="4">
        <f t="shared" si="0"/>
        <v>2.5948918880463321</v>
      </c>
      <c r="G12" s="4">
        <f t="shared" si="1"/>
        <v>3.3975295224428463</v>
      </c>
      <c r="H12" s="4">
        <f t="shared" si="2"/>
        <v>61.462749002892366</v>
      </c>
      <c r="I12" s="4">
        <f t="shared" si="3"/>
        <v>70.566848841360681</v>
      </c>
    </row>
    <row r="13" spans="1:9" x14ac:dyDescent="0.55000000000000004">
      <c r="A13">
        <v>20</v>
      </c>
      <c r="B13" s="1">
        <v>106.30397701263399</v>
      </c>
      <c r="C13" s="1">
        <v>31.678667783737101</v>
      </c>
      <c r="D13" s="1">
        <v>3435.2032203674298</v>
      </c>
      <c r="E13" s="1">
        <v>1016.01247119903</v>
      </c>
      <c r="F13" s="4">
        <f t="shared" si="0"/>
        <v>3.3556959446131551</v>
      </c>
      <c r="G13" s="4">
        <f t="shared" si="1"/>
        <v>3.3810640299655308</v>
      </c>
      <c r="H13" s="4">
        <f t="shared" si="2"/>
        <v>70.199922266339897</v>
      </c>
      <c r="I13" s="4">
        <f t="shared" si="3"/>
        <v>70.423511914082411</v>
      </c>
    </row>
    <row r="14" spans="1:9" x14ac:dyDescent="0.55000000000000004">
      <c r="A14">
        <v>21</v>
      </c>
      <c r="B14" s="1">
        <v>129.11357712745601</v>
      </c>
      <c r="C14" s="1">
        <v>85.613468647003103</v>
      </c>
      <c r="D14" s="1">
        <v>3800.0244002342201</v>
      </c>
      <c r="E14" s="1">
        <v>2119.42392086982</v>
      </c>
      <c r="F14" s="4">
        <f t="shared" si="0"/>
        <v>1.5080988910729718</v>
      </c>
      <c r="G14" s="4">
        <f t="shared" si="1"/>
        <v>1.7929515482087581</v>
      </c>
      <c r="H14" s="4">
        <f t="shared" si="2"/>
        <v>33.691351016873504</v>
      </c>
      <c r="I14" s="4">
        <f t="shared" si="3"/>
        <v>44.226044423841429</v>
      </c>
    </row>
    <row r="15" spans="1:9" x14ac:dyDescent="0.55000000000000004">
      <c r="A15">
        <v>22</v>
      </c>
      <c r="B15" s="1">
        <v>143.98876094818101</v>
      </c>
      <c r="C15" s="1">
        <v>99.938818216323796</v>
      </c>
      <c r="D15" s="1">
        <v>5221.3951535224896</v>
      </c>
      <c r="E15" s="1">
        <v>1017.57782173156</v>
      </c>
      <c r="F15" s="4">
        <f t="shared" si="0"/>
        <v>1.4407690977144474</v>
      </c>
      <c r="G15" s="4">
        <f t="shared" si="1"/>
        <v>5.1311998375097341</v>
      </c>
      <c r="H15" s="4">
        <f t="shared" si="2"/>
        <v>30.592625731191621</v>
      </c>
      <c r="I15" s="4">
        <f t="shared" si="3"/>
        <v>80.511380736141462</v>
      </c>
    </row>
    <row r="16" spans="1:9" x14ac:dyDescent="0.55000000000000004">
      <c r="A16">
        <v>23</v>
      </c>
      <c r="B16" s="1">
        <v>186.078208446502</v>
      </c>
      <c r="C16" s="1">
        <v>53.968281507492001</v>
      </c>
      <c r="D16" s="1">
        <v>5053.1202828884097</v>
      </c>
      <c r="E16" s="1">
        <v>1306.8113830089501</v>
      </c>
      <c r="F16" s="4">
        <f t="shared" si="0"/>
        <v>3.44791798532014</v>
      </c>
      <c r="G16" s="4">
        <f t="shared" si="1"/>
        <v>3.8667556378744843</v>
      </c>
      <c r="H16" s="4">
        <f t="shared" si="2"/>
        <v>70.996989944145966</v>
      </c>
      <c r="I16" s="4">
        <f t="shared" si="3"/>
        <v>74.138526101698801</v>
      </c>
    </row>
    <row r="17" spans="1:13" x14ac:dyDescent="0.55000000000000004">
      <c r="A17">
        <v>24</v>
      </c>
      <c r="B17" s="1">
        <v>222.16496348381</v>
      </c>
      <c r="C17" s="1">
        <v>57.522208690643303</v>
      </c>
      <c r="D17" s="1">
        <v>3863.7898542880998</v>
      </c>
      <c r="E17" s="1">
        <v>1274.4832997322001</v>
      </c>
      <c r="F17" s="4">
        <f t="shared" si="0"/>
        <v>3.8622467485318914</v>
      </c>
      <c r="G17" s="4">
        <f t="shared" si="1"/>
        <v>3.031652007601807</v>
      </c>
      <c r="H17" s="4">
        <f t="shared" si="2"/>
        <v>74.108334730811336</v>
      </c>
      <c r="I17" s="4">
        <f t="shared" si="3"/>
        <v>67.014683826094824</v>
      </c>
    </row>
    <row r="18" spans="1:13" x14ac:dyDescent="0.55000000000000004">
      <c r="A18">
        <v>25</v>
      </c>
      <c r="B18" s="1">
        <v>255.47273278236301</v>
      </c>
      <c r="C18" s="1">
        <v>87.3480415344238</v>
      </c>
      <c r="D18" s="1">
        <v>8088.2114987373297</v>
      </c>
      <c r="E18" s="1">
        <v>2268.8312127590102</v>
      </c>
      <c r="F18" s="4">
        <f t="shared" si="0"/>
        <v>2.9247677256928695</v>
      </c>
      <c r="G18" s="4">
        <f t="shared" si="1"/>
        <v>3.5649242893223718</v>
      </c>
      <c r="H18" s="4">
        <f t="shared" si="2"/>
        <v>65.809250723897989</v>
      </c>
      <c r="I18" s="4">
        <f t="shared" si="3"/>
        <v>71.948913389403785</v>
      </c>
    </row>
    <row r="19" spans="1:13" x14ac:dyDescent="0.55000000000000004">
      <c r="A19">
        <v>26</v>
      </c>
      <c r="B19" s="1">
        <v>299.52908754348698</v>
      </c>
      <c r="C19" s="1">
        <v>97.340054988860999</v>
      </c>
      <c r="D19" s="1">
        <v>4640.8880739212</v>
      </c>
      <c r="E19" s="1">
        <v>1656.20695471763</v>
      </c>
      <c r="F19" s="4">
        <f t="shared" si="0"/>
        <v>3.0771411376104449</v>
      </c>
      <c r="G19" s="4">
        <f t="shared" si="1"/>
        <v>2.8021184554876082</v>
      </c>
      <c r="H19" s="4">
        <f t="shared" si="2"/>
        <v>67.502303102790066</v>
      </c>
      <c r="I19" s="4">
        <f t="shared" si="3"/>
        <v>64.312714973143926</v>
      </c>
    </row>
    <row r="20" spans="1:13" x14ac:dyDescent="0.55000000000000004">
      <c r="A20">
        <v>27</v>
      </c>
      <c r="B20" s="1">
        <v>360.97318053245499</v>
      </c>
      <c r="C20" s="1">
        <v>109.166315793991</v>
      </c>
      <c r="D20" s="1">
        <v>6729.9439706802304</v>
      </c>
      <c r="E20" s="1">
        <v>2201.6061129569998</v>
      </c>
      <c r="F20" s="4">
        <f t="shared" si="0"/>
        <v>3.3066351823547073</v>
      </c>
      <c r="G20" s="4">
        <f t="shared" si="1"/>
        <v>3.0568337955971487</v>
      </c>
      <c r="H20" s="4">
        <f t="shared" si="2"/>
        <v>69.757776565847692</v>
      </c>
      <c r="I20" s="4">
        <f t="shared" si="3"/>
        <v>67.286412449367361</v>
      </c>
    </row>
    <row r="21" spans="1:13" x14ac:dyDescent="0.55000000000000004">
      <c r="A21">
        <v>28</v>
      </c>
      <c r="B21" s="1">
        <v>424.01167488098099</v>
      </c>
      <c r="C21" s="1">
        <v>123.281781673431</v>
      </c>
      <c r="D21" s="1">
        <v>10880.603682041099</v>
      </c>
      <c r="E21" s="1">
        <v>3418.7274889945902</v>
      </c>
      <c r="F21" s="4">
        <f t="shared" si="0"/>
        <v>3.4393701090739639</v>
      </c>
      <c r="G21" s="4">
        <f t="shared" si="1"/>
        <v>3.1826472619029849</v>
      </c>
      <c r="H21" s="4">
        <f t="shared" si="2"/>
        <v>70.924908681338579</v>
      </c>
      <c r="I21" s="4">
        <f t="shared" si="3"/>
        <v>68.579615718957342</v>
      </c>
    </row>
    <row r="22" spans="1:13" x14ac:dyDescent="0.55000000000000004">
      <c r="A22">
        <v>29</v>
      </c>
      <c r="B22" s="1">
        <v>454.25214552879299</v>
      </c>
      <c r="C22" s="1">
        <v>129.92610144615099</v>
      </c>
      <c r="D22" s="1">
        <v>15515.8345432281</v>
      </c>
      <c r="E22" s="1">
        <v>4450.8365111351004</v>
      </c>
      <c r="F22" s="4">
        <f t="shared" si="0"/>
        <v>3.4962347093671688</v>
      </c>
      <c r="G22" s="4">
        <f t="shared" si="1"/>
        <v>3.4860490841239828</v>
      </c>
      <c r="H22" s="4">
        <f t="shared" si="2"/>
        <v>71.397801259715663</v>
      </c>
      <c r="I22" s="4">
        <f t="shared" si="3"/>
        <v>71.314230641382608</v>
      </c>
    </row>
    <row r="23" spans="1:13" x14ac:dyDescent="0.55000000000000004">
      <c r="A23">
        <v>30</v>
      </c>
      <c r="B23" s="1">
        <v>498.45435929298401</v>
      </c>
      <c r="C23" s="1">
        <v>135.92649865150401</v>
      </c>
      <c r="D23" s="1">
        <v>11500.388265371301</v>
      </c>
      <c r="E23" s="1">
        <v>2690.8991684913599</v>
      </c>
      <c r="F23" s="4">
        <f t="shared" si="0"/>
        <v>3.6670874644608431</v>
      </c>
      <c r="G23" s="4">
        <f t="shared" si="1"/>
        <v>4.2738086956334893</v>
      </c>
      <c r="H23" s="4">
        <f t="shared" si="2"/>
        <v>72.730402269065436</v>
      </c>
      <c r="I23" s="4">
        <f t="shared" si="3"/>
        <v>76.601666775078385</v>
      </c>
    </row>
    <row r="29" spans="1:13" x14ac:dyDescent="0.55000000000000004">
      <c r="K29" s="2"/>
      <c r="L29" s="2"/>
      <c r="M29" s="2"/>
    </row>
    <row r="30" spans="1:13" x14ac:dyDescent="0.55000000000000004">
      <c r="K30" s="2"/>
      <c r="L30" s="2"/>
      <c r="M30" s="2"/>
    </row>
    <row r="31" spans="1:13" x14ac:dyDescent="0.55000000000000004">
      <c r="K31" s="2"/>
      <c r="L31" s="2"/>
      <c r="M31" s="2"/>
    </row>
    <row r="32" spans="1:13" x14ac:dyDescent="0.55000000000000004">
      <c r="K32" s="2"/>
      <c r="L32" s="2"/>
      <c r="M32" s="2"/>
    </row>
    <row r="33" spans="11:13" x14ac:dyDescent="0.55000000000000004">
      <c r="K33" s="2"/>
      <c r="L33" s="2"/>
      <c r="M33" s="2"/>
    </row>
    <row r="34" spans="11:13" x14ac:dyDescent="0.55000000000000004">
      <c r="K34" s="2"/>
      <c r="L34" s="2"/>
      <c r="M34" s="2"/>
    </row>
    <row r="35" spans="11:13" x14ac:dyDescent="0.55000000000000004">
      <c r="K35" s="2"/>
      <c r="L35" s="2"/>
      <c r="M35" s="2"/>
    </row>
    <row r="36" spans="11:13" x14ac:dyDescent="0.55000000000000004">
      <c r="K36" s="2"/>
      <c r="L36" s="2"/>
      <c r="M36" s="2"/>
    </row>
    <row r="37" spans="11:13" x14ac:dyDescent="0.55000000000000004">
      <c r="K37" s="2"/>
      <c r="L37" s="2"/>
      <c r="M37" s="2"/>
    </row>
    <row r="38" spans="11:13" x14ac:dyDescent="0.55000000000000004">
      <c r="K38" s="2"/>
      <c r="L38" s="2"/>
      <c r="M38" s="2"/>
    </row>
    <row r="39" spans="11:13" x14ac:dyDescent="0.55000000000000004">
      <c r="K39" s="2"/>
      <c r="L39" s="2"/>
      <c r="M39" s="2"/>
    </row>
    <row r="40" spans="11:13" x14ac:dyDescent="0.55000000000000004">
      <c r="K40" s="2"/>
      <c r="L40" s="2"/>
      <c r="M40" s="2"/>
    </row>
    <row r="41" spans="11:13" x14ac:dyDescent="0.55000000000000004">
      <c r="K41" s="2"/>
      <c r="L41" s="2"/>
      <c r="M41" s="2"/>
    </row>
    <row r="42" spans="11:13" x14ac:dyDescent="0.55000000000000004">
      <c r="K42" s="2"/>
      <c r="L42" s="2"/>
      <c r="M42" s="2"/>
    </row>
    <row r="43" spans="11:13" x14ac:dyDescent="0.55000000000000004">
      <c r="K43" s="2"/>
      <c r="L43" s="2"/>
      <c r="M43" s="2"/>
    </row>
    <row r="44" spans="11:13" x14ac:dyDescent="0.55000000000000004">
      <c r="K44" s="2"/>
      <c r="L44" s="2"/>
      <c r="M44" s="2"/>
    </row>
    <row r="45" spans="11:13" x14ac:dyDescent="0.55000000000000004">
      <c r="K45" s="2"/>
      <c r="L45" s="2"/>
      <c r="M45" s="2"/>
    </row>
    <row r="46" spans="11:13" x14ac:dyDescent="0.55000000000000004">
      <c r="K46" s="2"/>
      <c r="L46" s="2"/>
      <c r="M46" s="2"/>
    </row>
    <row r="47" spans="11:13" x14ac:dyDescent="0.55000000000000004">
      <c r="K47" s="2"/>
      <c r="L47" s="2"/>
      <c r="M47" s="2"/>
    </row>
    <row r="48" spans="11:13" x14ac:dyDescent="0.55000000000000004">
      <c r="K48" s="2"/>
      <c r="L48" s="2"/>
      <c r="M48" s="2"/>
    </row>
    <row r="49" spans="2:13" x14ac:dyDescent="0.55000000000000004">
      <c r="K49" s="2"/>
      <c r="L49" s="2"/>
      <c r="M49" s="2"/>
    </row>
    <row r="50" spans="2:13" x14ac:dyDescent="0.55000000000000004">
      <c r="B50" s="3"/>
      <c r="C50" s="3"/>
      <c r="D50" s="3"/>
      <c r="E50" s="3"/>
      <c r="G50" s="2"/>
      <c r="H50" s="1"/>
      <c r="I50" s="2"/>
    </row>
    <row r="55" spans="2:13" x14ac:dyDescent="0.55000000000000004">
      <c r="K55" s="2"/>
      <c r="L55" s="2"/>
      <c r="M55" s="2"/>
    </row>
    <row r="56" spans="2:13" x14ac:dyDescent="0.55000000000000004">
      <c r="K56" s="2"/>
      <c r="L56" s="2"/>
      <c r="M56" s="2"/>
    </row>
    <row r="57" spans="2:13" x14ac:dyDescent="0.55000000000000004">
      <c r="K57" s="2"/>
      <c r="L57" s="2"/>
      <c r="M57" s="2"/>
    </row>
    <row r="58" spans="2:13" x14ac:dyDescent="0.55000000000000004">
      <c r="K58" s="2"/>
      <c r="L58" s="2"/>
      <c r="M58" s="2"/>
    </row>
    <row r="59" spans="2:13" x14ac:dyDescent="0.55000000000000004">
      <c r="K59" s="2"/>
      <c r="L59" s="2"/>
      <c r="M59" s="2"/>
    </row>
    <row r="60" spans="2:13" x14ac:dyDescent="0.55000000000000004">
      <c r="K60" s="2"/>
      <c r="L60" s="2"/>
      <c r="M60" s="2"/>
    </row>
    <row r="61" spans="2:13" x14ac:dyDescent="0.55000000000000004">
      <c r="K61" s="2"/>
      <c r="L61" s="2"/>
      <c r="M61" s="2"/>
    </row>
    <row r="62" spans="2:13" x14ac:dyDescent="0.55000000000000004">
      <c r="K62" s="2"/>
      <c r="L62" s="2"/>
      <c r="M62" s="2"/>
    </row>
    <row r="63" spans="2:13" x14ac:dyDescent="0.55000000000000004">
      <c r="K63" s="2"/>
      <c r="L63" s="2"/>
      <c r="M63" s="2"/>
    </row>
    <row r="64" spans="2:13" x14ac:dyDescent="0.55000000000000004">
      <c r="K64" s="2"/>
      <c r="L64" s="2"/>
      <c r="M64" s="2"/>
    </row>
    <row r="65" spans="2:13" x14ac:dyDescent="0.55000000000000004">
      <c r="K65" s="2"/>
      <c r="L65" s="2"/>
      <c r="M65" s="2"/>
    </row>
    <row r="66" spans="2:13" x14ac:dyDescent="0.55000000000000004">
      <c r="K66" s="2"/>
      <c r="L66" s="2"/>
      <c r="M66" s="2"/>
    </row>
    <row r="67" spans="2:13" x14ac:dyDescent="0.55000000000000004">
      <c r="K67" s="2"/>
      <c r="L67" s="2"/>
      <c r="M67" s="2"/>
    </row>
    <row r="68" spans="2:13" x14ac:dyDescent="0.55000000000000004">
      <c r="K68" s="2"/>
      <c r="L68" s="2"/>
      <c r="M68" s="2"/>
    </row>
    <row r="69" spans="2:13" x14ac:dyDescent="0.55000000000000004">
      <c r="K69" s="2"/>
      <c r="L69" s="2"/>
      <c r="M69" s="2"/>
    </row>
    <row r="70" spans="2:13" x14ac:dyDescent="0.55000000000000004">
      <c r="K70" s="2"/>
      <c r="L70" s="2"/>
      <c r="M70" s="2"/>
    </row>
    <row r="71" spans="2:13" x14ac:dyDescent="0.55000000000000004">
      <c r="K71" s="2"/>
      <c r="L71" s="2"/>
      <c r="M71" s="2"/>
    </row>
    <row r="72" spans="2:13" x14ac:dyDescent="0.55000000000000004">
      <c r="K72" s="2"/>
      <c r="L72" s="2"/>
      <c r="M72" s="2"/>
    </row>
    <row r="73" spans="2:13" x14ac:dyDescent="0.55000000000000004">
      <c r="K73" s="2"/>
      <c r="L73" s="2"/>
      <c r="M73" s="2"/>
    </row>
    <row r="74" spans="2:13" x14ac:dyDescent="0.55000000000000004">
      <c r="K74" s="2"/>
      <c r="L74" s="2"/>
      <c r="M74" s="2"/>
    </row>
    <row r="75" spans="2:13" x14ac:dyDescent="0.55000000000000004">
      <c r="K75" s="2"/>
      <c r="L75" s="2"/>
      <c r="M75" s="2"/>
    </row>
    <row r="76" spans="2:13" x14ac:dyDescent="0.55000000000000004">
      <c r="B76" s="3"/>
      <c r="C76" s="3"/>
      <c r="D76" s="3"/>
      <c r="E76" s="3"/>
    </row>
    <row r="87" spans="8:10" x14ac:dyDescent="0.55000000000000004">
      <c r="H87" s="2"/>
      <c r="J87" s="2"/>
    </row>
    <row r="88" spans="8:10" x14ac:dyDescent="0.55000000000000004">
      <c r="H88" s="2"/>
      <c r="J88" s="2"/>
    </row>
    <row r="89" spans="8:10" x14ac:dyDescent="0.55000000000000004">
      <c r="H89" s="2"/>
      <c r="J89" s="2"/>
    </row>
    <row r="90" spans="8:10" x14ac:dyDescent="0.55000000000000004">
      <c r="H90" s="2"/>
      <c r="J90" s="2"/>
    </row>
    <row r="91" spans="8:10" x14ac:dyDescent="0.55000000000000004">
      <c r="H91" s="2"/>
      <c r="J91" s="2"/>
    </row>
    <row r="92" spans="8:10" x14ac:dyDescent="0.55000000000000004">
      <c r="H92" s="2"/>
      <c r="J92" s="2"/>
    </row>
    <row r="93" spans="8:10" x14ac:dyDescent="0.55000000000000004">
      <c r="H93" s="2"/>
      <c r="J93" s="2"/>
    </row>
    <row r="94" spans="8:10" x14ac:dyDescent="0.55000000000000004">
      <c r="H94" s="2"/>
      <c r="J94" s="2"/>
    </row>
    <row r="95" spans="8:10" x14ac:dyDescent="0.55000000000000004">
      <c r="H95" s="2"/>
      <c r="J95" s="2"/>
    </row>
    <row r="96" spans="8:10" x14ac:dyDescent="0.55000000000000004">
      <c r="H96" s="2"/>
      <c r="J96" s="2"/>
    </row>
    <row r="97" spans="2:10" x14ac:dyDescent="0.55000000000000004">
      <c r="H97" s="2"/>
      <c r="J97" s="2"/>
    </row>
    <row r="98" spans="2:10" x14ac:dyDescent="0.55000000000000004">
      <c r="H98" s="2"/>
      <c r="J98" s="2"/>
    </row>
    <row r="99" spans="2:10" x14ac:dyDescent="0.55000000000000004">
      <c r="H99" s="2"/>
      <c r="J99" s="2"/>
    </row>
    <row r="100" spans="2:10" x14ac:dyDescent="0.55000000000000004">
      <c r="H100" s="2"/>
      <c r="J100" s="2"/>
    </row>
    <row r="101" spans="2:10" x14ac:dyDescent="0.55000000000000004">
      <c r="H101" s="2"/>
      <c r="J101" s="2"/>
    </row>
    <row r="102" spans="2:10" x14ac:dyDescent="0.55000000000000004">
      <c r="B102" s="3"/>
      <c r="C102" s="3"/>
      <c r="D102" s="3"/>
      <c r="E102" s="3"/>
      <c r="H102" s="2"/>
      <c r="J102" s="2"/>
    </row>
    <row r="103" spans="2:10" x14ac:dyDescent="0.55000000000000004">
      <c r="H103" s="2"/>
      <c r="J103" s="2"/>
    </row>
    <row r="104" spans="2:10" x14ac:dyDescent="0.55000000000000004">
      <c r="H104" s="2"/>
      <c r="J104" s="2"/>
    </row>
    <row r="105" spans="2:10" x14ac:dyDescent="0.55000000000000004">
      <c r="H105" s="2"/>
      <c r="J105" s="2"/>
    </row>
    <row r="106" spans="2:10" x14ac:dyDescent="0.55000000000000004">
      <c r="H106" s="2"/>
      <c r="J106" s="2"/>
    </row>
    <row r="107" spans="2:10" x14ac:dyDescent="0.55000000000000004">
      <c r="H107" s="2"/>
      <c r="J107" s="2"/>
    </row>
    <row r="139" spans="11:13" x14ac:dyDescent="0.55000000000000004">
      <c r="K139" s="2"/>
      <c r="M139" s="2"/>
    </row>
    <row r="140" spans="11:13" x14ac:dyDescent="0.55000000000000004">
      <c r="K140" s="2"/>
      <c r="M140" s="2"/>
    </row>
    <row r="141" spans="11:13" x14ac:dyDescent="0.55000000000000004">
      <c r="K141" s="2"/>
      <c r="M141" s="2"/>
    </row>
    <row r="142" spans="11:13" x14ac:dyDescent="0.55000000000000004">
      <c r="K142" s="2"/>
      <c r="M142" s="2"/>
    </row>
    <row r="143" spans="11:13" x14ac:dyDescent="0.55000000000000004">
      <c r="K143" s="2"/>
      <c r="M143" s="2"/>
    </row>
    <row r="144" spans="11:13" x14ac:dyDescent="0.55000000000000004">
      <c r="K144" s="2"/>
      <c r="M144" s="2"/>
    </row>
    <row r="145" spans="2:13" x14ac:dyDescent="0.55000000000000004">
      <c r="K145" s="2"/>
      <c r="M145" s="2"/>
    </row>
    <row r="146" spans="2:13" x14ac:dyDescent="0.55000000000000004">
      <c r="K146" s="2"/>
      <c r="M146" s="2"/>
    </row>
    <row r="147" spans="2:13" x14ac:dyDescent="0.55000000000000004">
      <c r="K147" s="2"/>
      <c r="M147" s="2"/>
    </row>
    <row r="148" spans="2:13" x14ac:dyDescent="0.55000000000000004">
      <c r="K148" s="2"/>
      <c r="M148" s="2"/>
    </row>
    <row r="149" spans="2:13" x14ac:dyDescent="0.55000000000000004">
      <c r="K149" s="2"/>
      <c r="M149" s="2"/>
    </row>
    <row r="150" spans="2:13" x14ac:dyDescent="0.55000000000000004">
      <c r="K150" s="2"/>
      <c r="M150" s="2"/>
    </row>
    <row r="151" spans="2:13" x14ac:dyDescent="0.55000000000000004">
      <c r="K151" s="2"/>
      <c r="M151" s="2"/>
    </row>
    <row r="152" spans="2:13" x14ac:dyDescent="0.55000000000000004">
      <c r="K152" s="2"/>
      <c r="M152" s="2"/>
    </row>
    <row r="153" spans="2:13" x14ac:dyDescent="0.55000000000000004">
      <c r="B153" s="3"/>
      <c r="C153" s="3"/>
      <c r="I153" s="3"/>
      <c r="K153" s="2"/>
      <c r="M153" s="2"/>
    </row>
    <row r="154" spans="2:13" x14ac:dyDescent="0.55000000000000004">
      <c r="B154" s="3"/>
      <c r="C154" s="3"/>
      <c r="K154" s="2"/>
      <c r="M154" s="2"/>
    </row>
    <row r="155" spans="2:13" x14ac:dyDescent="0.55000000000000004">
      <c r="K155" s="2"/>
      <c r="M155" s="2"/>
    </row>
    <row r="156" spans="2:13" x14ac:dyDescent="0.55000000000000004">
      <c r="K156" s="2"/>
      <c r="M156" s="2"/>
    </row>
    <row r="157" spans="2:13" x14ac:dyDescent="0.55000000000000004">
      <c r="K157" s="2"/>
      <c r="M157" s="2"/>
    </row>
    <row r="158" spans="2:13" x14ac:dyDescent="0.55000000000000004">
      <c r="K158" s="2"/>
      <c r="M158" s="2"/>
    </row>
    <row r="159" spans="2:13" x14ac:dyDescent="0.55000000000000004">
      <c r="K159" s="2"/>
      <c r="M15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7367-0449-4A3F-9C62-AAC83CA3629D}">
  <dimension ref="A1:M24"/>
  <sheetViews>
    <sheetView workbookViewId="0">
      <selection activeCell="L7" sqref="L7"/>
    </sheetView>
  </sheetViews>
  <sheetFormatPr defaultRowHeight="14.4" x14ac:dyDescent="0.55000000000000004"/>
  <cols>
    <col min="1" max="1" width="11.15625" bestFit="1" customWidth="1"/>
    <col min="2" max="2" width="13.62890625" bestFit="1" customWidth="1"/>
    <col min="3" max="3" width="14.578125" bestFit="1" customWidth="1"/>
    <col min="4" max="4" width="13.62890625" bestFit="1" customWidth="1"/>
    <col min="5" max="5" width="14.578125" bestFit="1" customWidth="1"/>
    <col min="6" max="6" width="13.62890625" bestFit="1" customWidth="1"/>
    <col min="7" max="7" width="14.578125" bestFit="1" customWidth="1"/>
    <col min="8" max="8" width="13.62890625" bestFit="1" customWidth="1"/>
    <col min="9" max="9" width="14.578125" bestFit="1" customWidth="1"/>
  </cols>
  <sheetData>
    <row r="1" spans="1:13" x14ac:dyDescent="0.55000000000000004">
      <c r="A1" t="s">
        <v>15</v>
      </c>
      <c r="B1" s="3" t="s">
        <v>1</v>
      </c>
      <c r="F1" s="3" t="s">
        <v>2</v>
      </c>
    </row>
    <row r="2" spans="1:13" x14ac:dyDescent="0.55000000000000004">
      <c r="A2" t="s">
        <v>0</v>
      </c>
      <c r="B2" s="3" t="s">
        <v>4</v>
      </c>
      <c r="C2" s="3"/>
      <c r="D2" s="3" t="s">
        <v>14</v>
      </c>
      <c r="F2" s="3" t="s">
        <v>4</v>
      </c>
      <c r="G2" s="3"/>
      <c r="H2" s="3" t="s">
        <v>14</v>
      </c>
      <c r="I2" s="3"/>
      <c r="M2" t="s">
        <v>19</v>
      </c>
    </row>
    <row r="3" spans="1:13" x14ac:dyDescent="0.55000000000000004">
      <c r="A3" t="s">
        <v>6</v>
      </c>
      <c r="B3" t="s">
        <v>18</v>
      </c>
      <c r="C3" t="s">
        <v>20</v>
      </c>
      <c r="D3" t="s">
        <v>18</v>
      </c>
      <c r="E3" t="s">
        <v>20</v>
      </c>
      <c r="F3" t="s">
        <v>18</v>
      </c>
      <c r="G3" t="s">
        <v>20</v>
      </c>
      <c r="H3" t="s">
        <v>18</v>
      </c>
      <c r="I3" t="s">
        <v>20</v>
      </c>
    </row>
    <row r="4" spans="1:13" x14ac:dyDescent="0.55000000000000004">
      <c r="A4">
        <v>10</v>
      </c>
      <c r="B4" s="4">
        <v>65.792876699182401</v>
      </c>
      <c r="C4" s="4">
        <v>19.566411238149101</v>
      </c>
      <c r="D4" s="4">
        <v>38.544722570307599</v>
      </c>
      <c r="E4" s="4">
        <v>11.462971839934401</v>
      </c>
      <c r="F4" s="4">
        <v>81.422929121481801</v>
      </c>
      <c r="G4" s="4">
        <v>24.2146961089691</v>
      </c>
      <c r="H4" s="4">
        <v>38.5689844292083</v>
      </c>
      <c r="I4" s="4">
        <v>11.4701871728469</v>
      </c>
    </row>
    <row r="5" spans="1:13" x14ac:dyDescent="0.55000000000000004">
      <c r="A5">
        <v>11</v>
      </c>
      <c r="B5" s="4">
        <v>99.737164069924006</v>
      </c>
      <c r="C5" s="4">
        <v>28.107045184515499</v>
      </c>
      <c r="D5" s="4">
        <v>55.072726929573399</v>
      </c>
      <c r="E5" s="4">
        <v>15.520108664396901</v>
      </c>
      <c r="F5" s="4">
        <v>99.586129288604297</v>
      </c>
      <c r="G5" s="4">
        <v>28.0644818986774</v>
      </c>
      <c r="H5" s="4">
        <v>55.039903202115802</v>
      </c>
      <c r="I5" s="4">
        <v>15.510858571922499</v>
      </c>
    </row>
    <row r="6" spans="1:13" x14ac:dyDescent="0.55000000000000004">
      <c r="A6">
        <v>12</v>
      </c>
      <c r="B6" s="4">
        <v>96.256456396646598</v>
      </c>
      <c r="C6" s="4">
        <v>28.6189186179157</v>
      </c>
      <c r="D6" s="4">
        <v>52.169764518535302</v>
      </c>
      <c r="E6" s="4">
        <v>15.511086746424199</v>
      </c>
      <c r="F6" s="4">
        <v>96.133017186169099</v>
      </c>
      <c r="G6" s="4">
        <v>28.582217737256201</v>
      </c>
      <c r="H6" s="4">
        <v>52.157997967717797</v>
      </c>
      <c r="I6" s="4">
        <v>15.5075883217692</v>
      </c>
    </row>
    <row r="7" spans="1:13" x14ac:dyDescent="0.55000000000000004">
      <c r="A7">
        <v>13</v>
      </c>
      <c r="B7" s="4">
        <v>102.35734832103699</v>
      </c>
      <c r="C7" s="4">
        <v>29.245803808667102</v>
      </c>
      <c r="D7" s="4">
        <v>55.311480210131897</v>
      </c>
      <c r="E7" s="4">
        <v>15.803737837354801</v>
      </c>
      <c r="F7" s="4">
        <v>102.21756119607601</v>
      </c>
      <c r="G7" s="4">
        <v>29.2058634731792</v>
      </c>
      <c r="H7" s="4">
        <v>55.332143880778503</v>
      </c>
      <c r="I7" s="4">
        <v>15.809641914273699</v>
      </c>
    </row>
    <row r="8" spans="1:13" x14ac:dyDescent="0.55000000000000004">
      <c r="A8">
        <v>14</v>
      </c>
      <c r="B8" s="4">
        <v>99.546668111527495</v>
      </c>
      <c r="C8" s="4">
        <v>29.489333662023899</v>
      </c>
      <c r="D8" s="4">
        <v>53.570649871100599</v>
      </c>
      <c r="E8" s="4">
        <v>15.8695695045307</v>
      </c>
      <c r="F8" s="4">
        <v>99.400993089322299</v>
      </c>
      <c r="G8" s="4">
        <v>29.446179436799401</v>
      </c>
      <c r="H8" s="4">
        <v>53.590590034842201</v>
      </c>
      <c r="I8" s="4">
        <v>15.8754765042627</v>
      </c>
    </row>
    <row r="9" spans="1:13" x14ac:dyDescent="0.55000000000000004">
      <c r="A9">
        <v>15</v>
      </c>
      <c r="B9" s="4">
        <v>95.677020506177598</v>
      </c>
      <c r="C9" s="4">
        <v>27.629182620394801</v>
      </c>
      <c r="D9" s="4">
        <v>49.331608260126103</v>
      </c>
      <c r="E9" s="4">
        <v>14.2457614834358</v>
      </c>
      <c r="F9" s="4">
        <v>95.540142432481602</v>
      </c>
      <c r="G9" s="4">
        <v>27.589655581667401</v>
      </c>
      <c r="H9" s="4">
        <v>50.128560703073397</v>
      </c>
      <c r="I9" s="4">
        <v>14.475901850155701</v>
      </c>
    </row>
    <row r="10" spans="1:13" x14ac:dyDescent="0.55000000000000004">
      <c r="A10">
        <v>16</v>
      </c>
      <c r="B10" s="4">
        <v>90.443434846691204</v>
      </c>
      <c r="C10" s="4">
        <v>26.8845516823813</v>
      </c>
      <c r="D10" s="4">
        <v>51.361827469688102</v>
      </c>
      <c r="E10" s="4">
        <v>15.267439891585401</v>
      </c>
      <c r="F10" s="4">
        <v>89.976080467048504</v>
      </c>
      <c r="G10" s="4">
        <v>26.7456293493807</v>
      </c>
      <c r="H10" s="4">
        <v>51.374485393998597</v>
      </c>
      <c r="I10" s="4">
        <v>15.271202493270099</v>
      </c>
    </row>
    <row r="11" spans="1:13" x14ac:dyDescent="0.55000000000000004">
      <c r="A11">
        <v>17</v>
      </c>
      <c r="B11" s="4">
        <v>92.680895016490894</v>
      </c>
      <c r="C11" s="4">
        <v>27.012318210550202</v>
      </c>
      <c r="D11" s="4">
        <v>54.587973342452997</v>
      </c>
      <c r="E11" s="4">
        <v>15.9099424550551</v>
      </c>
      <c r="F11" s="4">
        <v>88.477150899542295</v>
      </c>
      <c r="G11" s="4">
        <v>25.787115608195801</v>
      </c>
      <c r="H11" s="4">
        <v>54.603522081681398</v>
      </c>
      <c r="I11" s="4">
        <v>15.914474214181199</v>
      </c>
    </row>
    <row r="12" spans="1:13" x14ac:dyDescent="0.55000000000000004">
      <c r="A12">
        <v>18</v>
      </c>
      <c r="B12" s="4">
        <v>90.1662091307238</v>
      </c>
      <c r="C12" s="4">
        <v>26.8437076087191</v>
      </c>
      <c r="D12" s="4">
        <v>49.992871678331902</v>
      </c>
      <c r="E12" s="4">
        <v>14.8835582951893</v>
      </c>
      <c r="F12" s="4">
        <v>89.0395473607159</v>
      </c>
      <c r="G12" s="4">
        <v>26.508285066066001</v>
      </c>
      <c r="H12" s="4">
        <v>49.973180592794897</v>
      </c>
      <c r="I12" s="4">
        <v>14.8776959910318</v>
      </c>
    </row>
    <row r="13" spans="1:13" x14ac:dyDescent="0.55000000000000004">
      <c r="A13">
        <v>19</v>
      </c>
      <c r="B13" s="4">
        <v>89.521068026491307</v>
      </c>
      <c r="C13" s="4">
        <v>26.238922772775599</v>
      </c>
      <c r="D13" s="4">
        <v>48.629729494560202</v>
      </c>
      <c r="E13" s="4">
        <v>14.2535354503494</v>
      </c>
      <c r="F13" s="4">
        <v>88.529828081981293</v>
      </c>
      <c r="G13" s="4">
        <v>25.9483870483181</v>
      </c>
      <c r="H13" s="4">
        <v>48.638784850144702</v>
      </c>
      <c r="I13" s="4">
        <v>14.256189605188</v>
      </c>
    </row>
    <row r="14" spans="1:13" x14ac:dyDescent="0.55000000000000004">
      <c r="A14">
        <v>20</v>
      </c>
      <c r="B14" s="4">
        <v>100.58393999624499</v>
      </c>
      <c r="C14" s="4">
        <v>30.012695617075899</v>
      </c>
      <c r="D14" s="4">
        <v>57.014503599789101</v>
      </c>
      <c r="E14" s="4">
        <v>17.012248102063101</v>
      </c>
      <c r="F14" s="4">
        <v>100.433641950503</v>
      </c>
      <c r="G14" s="4">
        <v>29.967848999426302</v>
      </c>
      <c r="H14" s="4">
        <v>57.024395768931001</v>
      </c>
      <c r="I14" s="4">
        <v>17.015199772692199</v>
      </c>
    </row>
    <row r="15" spans="1:13" x14ac:dyDescent="0.55000000000000004">
      <c r="A15">
        <v>21</v>
      </c>
      <c r="B15" s="4">
        <v>90.4149913562145</v>
      </c>
      <c r="C15" s="4">
        <v>26.6547136289016</v>
      </c>
      <c r="D15" s="4">
        <v>49.399302281789303</v>
      </c>
      <c r="E15" s="4">
        <v>14.563118748759701</v>
      </c>
      <c r="F15" s="4">
        <v>425.68902392121203</v>
      </c>
      <c r="G15" s="4">
        <v>125.4948859408</v>
      </c>
      <c r="H15" s="4">
        <v>49.415815946854899</v>
      </c>
      <c r="I15" s="4">
        <v>14.5679870455619</v>
      </c>
    </row>
    <row r="16" spans="1:13" x14ac:dyDescent="0.55000000000000004">
      <c r="A16">
        <v>22</v>
      </c>
      <c r="B16" s="4">
        <v>88.082996994187596</v>
      </c>
      <c r="C16" s="4">
        <v>26.3431355688992</v>
      </c>
      <c r="D16" s="4">
        <v>47.997154707219501</v>
      </c>
      <c r="E16" s="4">
        <v>14.354592787722099</v>
      </c>
      <c r="F16" s="4">
        <v>422.12236143788698</v>
      </c>
      <c r="G16" s="4">
        <v>126.244871013595</v>
      </c>
      <c r="H16" s="4">
        <v>48.003899840104502</v>
      </c>
      <c r="I16" s="4">
        <v>14.3566100663806</v>
      </c>
    </row>
    <row r="17" spans="1:9" x14ac:dyDescent="0.55000000000000004">
      <c r="A17">
        <v>23</v>
      </c>
      <c r="B17" s="4">
        <v>93.937057567758998</v>
      </c>
      <c r="C17" s="4">
        <v>27.805623030531599</v>
      </c>
      <c r="D17" s="4">
        <v>53.241289504319603</v>
      </c>
      <c r="E17" s="4">
        <v>15.7595656490374</v>
      </c>
      <c r="F17" s="4">
        <v>94.154478694868203</v>
      </c>
      <c r="G17" s="4">
        <v>27.869980272027199</v>
      </c>
      <c r="H17" s="4">
        <v>53.247834534308197</v>
      </c>
      <c r="I17" s="4">
        <v>15.761502995610799</v>
      </c>
    </row>
    <row r="18" spans="1:9" x14ac:dyDescent="0.55000000000000004">
      <c r="A18">
        <v>24</v>
      </c>
      <c r="B18" s="4">
        <v>98.595734274541996</v>
      </c>
      <c r="C18" s="4">
        <v>29.534661308455</v>
      </c>
      <c r="D18" s="4">
        <v>53.9809029421546</v>
      </c>
      <c r="E18" s="4">
        <v>16.1701487113199</v>
      </c>
      <c r="F18" s="4">
        <v>98.442812550383096</v>
      </c>
      <c r="G18" s="4">
        <v>29.4888531265598</v>
      </c>
      <c r="H18" s="4">
        <v>53.964022287400702</v>
      </c>
      <c r="I18" s="4">
        <v>16.165092058265898</v>
      </c>
    </row>
    <row r="19" spans="1:9" x14ac:dyDescent="0.55000000000000004">
      <c r="A19">
        <v>25</v>
      </c>
      <c r="B19" s="4">
        <v>93.586343937267799</v>
      </c>
      <c r="C19" s="4">
        <v>27.805402335900201</v>
      </c>
      <c r="D19" s="4">
        <v>51.455850029571799</v>
      </c>
      <c r="E19" s="4">
        <v>15.2880276375262</v>
      </c>
      <c r="F19" s="4">
        <v>92.693729005128006</v>
      </c>
      <c r="G19" s="4">
        <v>27.540197859744801</v>
      </c>
      <c r="H19" s="4">
        <v>51.467337648769302</v>
      </c>
      <c r="I19" s="4">
        <v>15.291440719608801</v>
      </c>
    </row>
    <row r="20" spans="1:9" x14ac:dyDescent="0.55000000000000004">
      <c r="A20">
        <v>26</v>
      </c>
      <c r="B20" s="4">
        <v>91.307324840371393</v>
      </c>
      <c r="C20" s="4">
        <v>27.406595081202799</v>
      </c>
      <c r="D20" s="4">
        <v>51.119605952728399</v>
      </c>
      <c r="E20" s="4">
        <v>15.343942487707301</v>
      </c>
      <c r="F20" s="4">
        <v>390.55546637727002</v>
      </c>
      <c r="G20" s="4">
        <v>117.22822394003001</v>
      </c>
      <c r="H20" s="4">
        <v>51.104955508377202</v>
      </c>
      <c r="I20" s="4">
        <v>15.3395450442734</v>
      </c>
    </row>
    <row r="21" spans="1:9" x14ac:dyDescent="0.55000000000000004">
      <c r="A21">
        <v>27</v>
      </c>
      <c r="B21" s="4">
        <v>95.003230604653794</v>
      </c>
      <c r="C21" s="4">
        <v>28.316418293946199</v>
      </c>
      <c r="D21" s="4">
        <v>53.150548781279298</v>
      </c>
      <c r="E21" s="4">
        <v>15.8419157144933</v>
      </c>
      <c r="F21" s="4">
        <v>94.977668283790294</v>
      </c>
      <c r="G21" s="4">
        <v>28.308799254408999</v>
      </c>
      <c r="H21" s="4">
        <v>53.155329167874498</v>
      </c>
      <c r="I21" s="4">
        <v>15.843340544213</v>
      </c>
    </row>
    <row r="22" spans="1:9" x14ac:dyDescent="0.55000000000000004">
      <c r="A22">
        <v>28</v>
      </c>
      <c r="B22" s="4">
        <v>92.534856131564695</v>
      </c>
      <c r="C22" s="4">
        <v>27.8154314549658</v>
      </c>
      <c r="D22" s="4">
        <v>50.957708602776798</v>
      </c>
      <c r="E22" s="4">
        <v>15.3175863668865</v>
      </c>
      <c r="F22" s="4">
        <v>91.219580115897003</v>
      </c>
      <c r="G22" s="4">
        <v>27.4200672496533</v>
      </c>
      <c r="H22" s="4">
        <v>50.961828752213897</v>
      </c>
      <c r="I22" s="4">
        <v>15.3188248594832</v>
      </c>
    </row>
    <row r="23" spans="1:9" x14ac:dyDescent="0.55000000000000004">
      <c r="A23">
        <v>29</v>
      </c>
      <c r="B23" s="4">
        <v>89.332453916415304</v>
      </c>
      <c r="C23" s="4">
        <v>26.692821688555199</v>
      </c>
      <c r="D23" s="4">
        <v>49.535070582492601</v>
      </c>
      <c r="E23" s="4">
        <v>14.801236822909001</v>
      </c>
      <c r="F23" s="4">
        <v>372.57452221558901</v>
      </c>
      <c r="G23" s="4">
        <v>111.326453614546</v>
      </c>
      <c r="H23" s="4">
        <v>49.543461723258702</v>
      </c>
      <c r="I23" s="4">
        <v>14.803744122489601</v>
      </c>
    </row>
    <row r="24" spans="1:9" x14ac:dyDescent="0.55000000000000004">
      <c r="A24">
        <v>30</v>
      </c>
      <c r="B24" s="4">
        <v>94.546007347467807</v>
      </c>
      <c r="C24" s="4">
        <v>28.464500973913601</v>
      </c>
      <c r="D24" s="4">
        <v>52.314089757799302</v>
      </c>
      <c r="E24" s="4">
        <v>15.7499454565826</v>
      </c>
      <c r="F24" s="4">
        <v>94.028486951948594</v>
      </c>
      <c r="G24" s="4">
        <v>28.3086936562324</v>
      </c>
      <c r="H24" s="4">
        <v>52.323524124889097</v>
      </c>
      <c r="I24" s="4">
        <v>15.7527858150362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0054-6D26-48F5-91C4-8A5BC5D04F53}">
  <dimension ref="A1:G25"/>
  <sheetViews>
    <sheetView workbookViewId="0">
      <selection sqref="A1:G1048576"/>
    </sheetView>
  </sheetViews>
  <sheetFormatPr defaultRowHeight="14.4" x14ac:dyDescent="0.55000000000000004"/>
  <cols>
    <col min="1" max="1" width="13.41796875" bestFit="1" customWidth="1"/>
    <col min="2" max="5" width="9.7890625" bestFit="1" customWidth="1"/>
    <col min="6" max="6" width="13.41796875" bestFit="1" customWidth="1"/>
    <col min="7" max="7" width="9.20703125" bestFit="1" customWidth="1"/>
  </cols>
  <sheetData>
    <row r="1" spans="1:7" x14ac:dyDescent="0.55000000000000004">
      <c r="A1" t="s">
        <v>15</v>
      </c>
      <c r="B1" s="3" t="s">
        <v>1</v>
      </c>
      <c r="C1" s="3"/>
      <c r="D1" s="3"/>
      <c r="E1" s="3"/>
    </row>
    <row r="2" spans="1:7" x14ac:dyDescent="0.55000000000000004">
      <c r="A2" t="s">
        <v>16</v>
      </c>
      <c r="B2" s="3" t="s">
        <v>10</v>
      </c>
      <c r="C2" s="3"/>
      <c r="D2" s="3"/>
      <c r="E2" s="3"/>
    </row>
    <row r="3" spans="1:7" x14ac:dyDescent="0.55000000000000004">
      <c r="A3" t="s">
        <v>0</v>
      </c>
      <c r="B3" s="3"/>
      <c r="C3" s="3"/>
      <c r="D3" s="3" t="s">
        <v>4</v>
      </c>
      <c r="E3" s="3" t="s">
        <v>14</v>
      </c>
      <c r="F3" t="s">
        <v>17</v>
      </c>
    </row>
    <row r="4" spans="1:7" x14ac:dyDescent="0.55000000000000004">
      <c r="A4" t="s">
        <v>6</v>
      </c>
      <c r="B4" s="3" t="s">
        <v>11</v>
      </c>
      <c r="C4" s="3" t="s">
        <v>12</v>
      </c>
      <c r="D4" s="3" t="s">
        <v>13</v>
      </c>
      <c r="E4" s="3" t="s">
        <v>13</v>
      </c>
      <c r="F4" t="s">
        <v>4</v>
      </c>
      <c r="G4" t="s">
        <v>14</v>
      </c>
    </row>
    <row r="5" spans="1:7" x14ac:dyDescent="0.55000000000000004">
      <c r="A5">
        <v>10</v>
      </c>
      <c r="B5" s="3">
        <v>3.6502763404011198E-6</v>
      </c>
      <c r="C5" s="3">
        <v>3.5986512163973499E-6</v>
      </c>
      <c r="D5" s="3">
        <v>3.5969799977238102E-6</v>
      </c>
      <c r="E5" s="3">
        <v>3.7439017733031402E-6</v>
      </c>
      <c r="F5" s="4">
        <f t="shared" ref="F5:F25" si="0">((D5-$B5)/D5)*100</f>
        <v>-1.4816969432978735</v>
      </c>
      <c r="G5" s="4">
        <f t="shared" ref="G5:G25" si="1">((E5-$B5)/E5)*100</f>
        <v>2.5007449065475154</v>
      </c>
    </row>
    <row r="6" spans="1:7" x14ac:dyDescent="0.55000000000000004">
      <c r="A6">
        <v>11</v>
      </c>
      <c r="B6" s="3">
        <v>3.6412648988096001E-6</v>
      </c>
      <c r="C6" s="3">
        <v>3.5778914836878901E-6</v>
      </c>
      <c r="D6" s="3">
        <v>3.6412648988096001E-6</v>
      </c>
      <c r="E6" s="3">
        <v>3.7422484632581401E-6</v>
      </c>
      <c r="F6" s="4">
        <f t="shared" si="0"/>
        <v>0</v>
      </c>
      <c r="G6" s="4">
        <f t="shared" si="1"/>
        <v>2.6984730019935657</v>
      </c>
    </row>
    <row r="7" spans="1:7" x14ac:dyDescent="0.55000000000000004">
      <c r="A7">
        <v>12</v>
      </c>
      <c r="B7" s="3">
        <v>3.6409081501101701E-6</v>
      </c>
      <c r="C7" s="3">
        <v>3.5769865805576402E-6</v>
      </c>
      <c r="D7" s="3">
        <v>3.6409081501101701E-6</v>
      </c>
      <c r="E7" s="3">
        <v>3.7478443187610099E-6</v>
      </c>
      <c r="F7" s="4">
        <f t="shared" si="0"/>
        <v>0</v>
      </c>
      <c r="G7" s="4">
        <f t="shared" si="1"/>
        <v>2.8532713623011867</v>
      </c>
    </row>
    <row r="8" spans="1:7" x14ac:dyDescent="0.55000000000000004">
      <c r="A8">
        <v>13</v>
      </c>
      <c r="B8" s="3">
        <v>3.66015142775572E-6</v>
      </c>
      <c r="C8" s="3">
        <v>3.5737057925132402E-6</v>
      </c>
      <c r="D8" s="3">
        <v>3.66015142775572E-6</v>
      </c>
      <c r="E8" s="3">
        <v>3.7509010684784199E-6</v>
      </c>
      <c r="F8" s="4">
        <f t="shared" si="0"/>
        <v>0</v>
      </c>
      <c r="G8" s="4">
        <f t="shared" si="1"/>
        <v>2.4194090717384102</v>
      </c>
    </row>
    <row r="9" spans="1:7" x14ac:dyDescent="0.55000000000000004">
      <c r="A9">
        <v>14</v>
      </c>
      <c r="B9" s="3">
        <v>3.6508609344100101E-6</v>
      </c>
      <c r="C9" s="3">
        <v>3.58831976217588E-6</v>
      </c>
      <c r="D9" s="3">
        <v>3.6508609344100101E-6</v>
      </c>
      <c r="E9" s="3">
        <v>3.7522707777287298E-6</v>
      </c>
      <c r="F9" s="4">
        <f t="shared" si="0"/>
        <v>0</v>
      </c>
      <c r="G9" s="4">
        <f t="shared" si="1"/>
        <v>2.7026259384218432</v>
      </c>
    </row>
    <row r="10" spans="1:7" x14ac:dyDescent="0.55000000000000004">
      <c r="A10">
        <v>15</v>
      </c>
      <c r="B10" s="3">
        <v>3.6468643757035399E-6</v>
      </c>
      <c r="C10" s="3">
        <v>3.5843852060278101E-6</v>
      </c>
      <c r="D10" s="3">
        <v>3.6468643757035399E-6</v>
      </c>
      <c r="E10" s="3">
        <v>3.7552495493185002E-6</v>
      </c>
      <c r="F10" s="4">
        <f t="shared" si="0"/>
        <v>0</v>
      </c>
      <c r="G10" s="4">
        <f t="shared" si="1"/>
        <v>2.8862309199831997</v>
      </c>
    </row>
    <row r="11" spans="1:7" x14ac:dyDescent="0.55000000000000004">
      <c r="A11">
        <v>16</v>
      </c>
      <c r="B11" s="3">
        <v>3.6568601245841201E-6</v>
      </c>
      <c r="C11" s="3">
        <v>3.5733422974069398E-6</v>
      </c>
      <c r="D11" s="3">
        <v>3.65858148948172E-6</v>
      </c>
      <c r="E11" s="3">
        <v>3.76258291406552E-6</v>
      </c>
      <c r="F11" s="4">
        <f t="shared" si="0"/>
        <v>4.7050063051724683E-2</v>
      </c>
      <c r="G11" s="4">
        <f t="shared" si="1"/>
        <v>2.8098461056148518</v>
      </c>
    </row>
    <row r="12" spans="1:7" x14ac:dyDescent="0.55000000000000004">
      <c r="A12">
        <v>17</v>
      </c>
      <c r="B12" s="3">
        <v>3.6597803901654102E-6</v>
      </c>
      <c r="C12" s="3">
        <v>3.5685273073453699E-6</v>
      </c>
      <c r="D12" s="3">
        <v>3.6497879847043801E-6</v>
      </c>
      <c r="E12" s="3">
        <v>3.7701938748379002E-6</v>
      </c>
      <c r="F12" s="4">
        <f t="shared" si="0"/>
        <v>-0.2737804360940001</v>
      </c>
      <c r="G12" s="4">
        <f t="shared" si="1"/>
        <v>2.9285890417833542</v>
      </c>
    </row>
    <row r="13" spans="1:7" x14ac:dyDescent="0.55000000000000004">
      <c r="A13">
        <v>18</v>
      </c>
      <c r="B13" s="3">
        <v>3.64977518175324E-6</v>
      </c>
      <c r="C13" s="3">
        <v>3.5741661362937201E-6</v>
      </c>
      <c r="D13" s="3">
        <v>3.64769753598229E-6</v>
      </c>
      <c r="E13" s="3">
        <v>3.7671649336176999E-6</v>
      </c>
      <c r="F13" s="4">
        <f t="shared" si="0"/>
        <v>-5.6957731567797862E-2</v>
      </c>
      <c r="G13" s="4">
        <f t="shared" si="1"/>
        <v>3.1161298730748084</v>
      </c>
    </row>
    <row r="14" spans="1:7" x14ac:dyDescent="0.55000000000000004">
      <c r="A14">
        <v>19</v>
      </c>
      <c r="B14" s="3">
        <v>3.6551809496619198E-6</v>
      </c>
      <c r="C14" s="3">
        <v>3.5738258892223298E-6</v>
      </c>
      <c r="D14" s="3">
        <v>3.6423770593578299E-6</v>
      </c>
      <c r="E14" s="3">
        <v>3.7674826871907801E-6</v>
      </c>
      <c r="F14" s="4">
        <f t="shared" si="0"/>
        <v>-0.35152566841466276</v>
      </c>
      <c r="G14" s="4">
        <f t="shared" si="1"/>
        <v>2.9808162864471708</v>
      </c>
    </row>
    <row r="15" spans="1:7" x14ac:dyDescent="0.55000000000000004">
      <c r="A15">
        <v>20</v>
      </c>
      <c r="B15" s="3">
        <v>3.6629931823939999E-6</v>
      </c>
      <c r="C15" s="3">
        <v>3.5727536877953099E-6</v>
      </c>
      <c r="D15" s="3">
        <v>3.6629931823939999E-6</v>
      </c>
      <c r="E15" s="3">
        <v>3.7694317297418701E-6</v>
      </c>
      <c r="F15" s="4">
        <f t="shared" si="0"/>
        <v>0</v>
      </c>
      <c r="G15" s="4">
        <f t="shared" si="1"/>
        <v>2.8237292774940133</v>
      </c>
    </row>
    <row r="16" spans="1:7" x14ac:dyDescent="0.55000000000000004">
      <c r="A16">
        <v>21</v>
      </c>
      <c r="B16" s="3">
        <v>3.6610360927377998E-6</v>
      </c>
      <c r="C16" s="3">
        <v>3.5712263939066701E-6</v>
      </c>
      <c r="D16" s="3">
        <v>3.6449771819283701E-6</v>
      </c>
      <c r="E16" s="3">
        <v>3.7702653671141699E-6</v>
      </c>
      <c r="F16" s="4">
        <f t="shared" si="0"/>
        <v>-0.44057644281146874</v>
      </c>
      <c r="G16" s="4">
        <f t="shared" si="1"/>
        <v>2.8971243066632235</v>
      </c>
    </row>
    <row r="17" spans="1:7" x14ac:dyDescent="0.55000000000000004">
      <c r="A17">
        <v>22</v>
      </c>
      <c r="B17" s="3">
        <v>3.6585692265112301E-6</v>
      </c>
      <c r="C17" s="3">
        <v>3.5701470561312799E-6</v>
      </c>
      <c r="D17" s="3">
        <v>3.6380131720946801E-6</v>
      </c>
      <c r="E17" s="3">
        <v>3.77841831399027E-6</v>
      </c>
      <c r="F17" s="4">
        <f t="shared" si="0"/>
        <v>-0.56503518388071872</v>
      </c>
      <c r="G17" s="4">
        <f t="shared" si="1"/>
        <v>3.1719380311935601</v>
      </c>
    </row>
    <row r="18" spans="1:7" x14ac:dyDescent="0.55000000000000004">
      <c r="A18">
        <v>23</v>
      </c>
      <c r="B18" s="3">
        <v>3.6623471475620399E-6</v>
      </c>
      <c r="C18" s="3">
        <v>3.57223146014254E-6</v>
      </c>
      <c r="D18" s="3">
        <v>3.6607151495223599E-6</v>
      </c>
      <c r="E18" s="3">
        <v>3.7838662312786898E-6</v>
      </c>
      <c r="F18" s="4">
        <f t="shared" si="0"/>
        <v>-4.4581399344687647E-2</v>
      </c>
      <c r="G18" s="4">
        <f t="shared" si="1"/>
        <v>3.2115058062077608</v>
      </c>
    </row>
    <row r="19" spans="1:7" x14ac:dyDescent="0.55000000000000004">
      <c r="A19">
        <v>24</v>
      </c>
      <c r="B19" s="3">
        <v>3.6615780444206499E-6</v>
      </c>
      <c r="C19" s="3">
        <v>3.5728570199704098E-6</v>
      </c>
      <c r="D19" s="3">
        <v>3.6615780444206499E-6</v>
      </c>
      <c r="E19" s="3">
        <v>3.7816117836260399E-6</v>
      </c>
      <c r="F19" s="4">
        <f t="shared" si="0"/>
        <v>0</v>
      </c>
      <c r="G19" s="4">
        <f t="shared" si="1"/>
        <v>3.1741422989298593</v>
      </c>
    </row>
    <row r="20" spans="1:7" x14ac:dyDescent="0.55000000000000004">
      <c r="A20">
        <v>25</v>
      </c>
      <c r="B20" s="3">
        <v>3.66244858208269E-6</v>
      </c>
      <c r="C20" s="3">
        <v>3.5715562509057901E-6</v>
      </c>
      <c r="D20" s="3">
        <v>3.6541060688716002E-6</v>
      </c>
      <c r="E20" s="3">
        <v>3.7795938084915499E-6</v>
      </c>
      <c r="F20" s="4">
        <f t="shared" si="0"/>
        <v>-0.2283051737922337</v>
      </c>
      <c r="G20" s="4">
        <f t="shared" si="1"/>
        <v>3.0994131206816906</v>
      </c>
    </row>
    <row r="21" spans="1:7" x14ac:dyDescent="0.55000000000000004">
      <c r="A21">
        <v>26</v>
      </c>
      <c r="B21" s="3">
        <v>3.6631266420780299E-6</v>
      </c>
      <c r="C21" s="3">
        <v>3.5705584441262301E-6</v>
      </c>
      <c r="D21" s="3">
        <v>3.65135726483341E-6</v>
      </c>
      <c r="E21" s="3">
        <v>3.7914955864325398E-6</v>
      </c>
      <c r="F21" s="4">
        <f t="shared" si="0"/>
        <v>-0.32232883256787881</v>
      </c>
      <c r="G21" s="4">
        <f t="shared" si="1"/>
        <v>3.3857073397069053</v>
      </c>
    </row>
    <row r="22" spans="1:7" x14ac:dyDescent="0.55000000000000004">
      <c r="A22">
        <v>27</v>
      </c>
      <c r="B22" s="3">
        <v>3.6594593920670498E-6</v>
      </c>
      <c r="C22" s="3">
        <v>3.5692138974172001E-6</v>
      </c>
      <c r="D22" s="3">
        <v>3.6619619799021101E-6</v>
      </c>
      <c r="E22" s="3">
        <v>3.7906171309622399E-6</v>
      </c>
      <c r="F22" s="4">
        <f t="shared" si="0"/>
        <v>6.8340082414705558E-2</v>
      </c>
      <c r="G22" s="4">
        <f t="shared" si="1"/>
        <v>3.4600629492194579</v>
      </c>
    </row>
    <row r="23" spans="1:7" x14ac:dyDescent="0.55000000000000004">
      <c r="A23">
        <v>28</v>
      </c>
      <c r="B23" s="3">
        <v>3.6615557957508499E-6</v>
      </c>
      <c r="C23" s="3">
        <v>3.5715392050236901E-6</v>
      </c>
      <c r="D23" s="3">
        <v>3.6525765997600798E-6</v>
      </c>
      <c r="E23" s="3">
        <v>3.79511634851749E-6</v>
      </c>
      <c r="F23" s="4">
        <f t="shared" si="0"/>
        <v>-0.24583183255786761</v>
      </c>
      <c r="G23" s="4">
        <f t="shared" si="1"/>
        <v>3.5192742593732</v>
      </c>
    </row>
    <row r="24" spans="1:7" x14ac:dyDescent="0.55000000000000004">
      <c r="A24">
        <v>29</v>
      </c>
      <c r="B24" s="3">
        <v>3.66543436761618E-6</v>
      </c>
      <c r="C24" s="3">
        <v>3.5710408182287601E-6</v>
      </c>
      <c r="D24" s="3">
        <v>3.6508390022632901E-6</v>
      </c>
      <c r="E24" s="3">
        <v>3.7914244053813598E-6</v>
      </c>
      <c r="F24" s="4">
        <f t="shared" si="0"/>
        <v>-0.3997811282239962</v>
      </c>
      <c r="G24" s="4">
        <f t="shared" si="1"/>
        <v>3.323026501236733</v>
      </c>
    </row>
    <row r="25" spans="1:7" x14ac:dyDescent="0.55000000000000004">
      <c r="A25">
        <v>30</v>
      </c>
      <c r="B25" s="3">
        <v>3.6616308292576799E-6</v>
      </c>
      <c r="C25" s="3">
        <v>3.5703421458100098E-6</v>
      </c>
      <c r="D25" s="3">
        <v>3.6587353604585902E-6</v>
      </c>
      <c r="E25" s="3">
        <v>3.7905787650777802E-6</v>
      </c>
      <c r="F25" s="4">
        <f t="shared" si="0"/>
        <v>-7.9138514099220722E-2</v>
      </c>
      <c r="G25" s="4">
        <f t="shared" si="1"/>
        <v>3.4018007225726232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A7F5-8017-4EC7-93FD-03A22C8B650F}">
  <dimension ref="A1:G25"/>
  <sheetViews>
    <sheetView workbookViewId="0">
      <selection activeCell="H8" sqref="H8"/>
    </sheetView>
  </sheetViews>
  <sheetFormatPr defaultRowHeight="14.4" x14ac:dyDescent="0.55000000000000004"/>
  <cols>
    <col min="1" max="1" width="13.41796875" bestFit="1" customWidth="1"/>
    <col min="2" max="5" width="9.7890625" bestFit="1" customWidth="1"/>
    <col min="6" max="6" width="13.41796875" bestFit="1" customWidth="1"/>
    <col min="7" max="7" width="9.20703125" bestFit="1" customWidth="1"/>
  </cols>
  <sheetData>
    <row r="1" spans="1:7" x14ac:dyDescent="0.55000000000000004">
      <c r="A1" t="s">
        <v>15</v>
      </c>
      <c r="B1" s="3" t="s">
        <v>1</v>
      </c>
      <c r="C1" s="3"/>
      <c r="D1" s="3"/>
      <c r="E1" s="3"/>
    </row>
    <row r="2" spans="1:7" x14ac:dyDescent="0.55000000000000004">
      <c r="A2" t="s">
        <v>16</v>
      </c>
      <c r="B2" s="3" t="s">
        <v>5</v>
      </c>
      <c r="C2" s="3"/>
      <c r="D2" s="3"/>
      <c r="E2" s="3"/>
    </row>
    <row r="3" spans="1:7" x14ac:dyDescent="0.55000000000000004">
      <c r="A3" t="s">
        <v>0</v>
      </c>
      <c r="B3" s="3"/>
      <c r="C3" s="3"/>
      <c r="D3" s="3" t="s">
        <v>4</v>
      </c>
      <c r="E3" s="3" t="s">
        <v>14</v>
      </c>
      <c r="F3" t="s">
        <v>17</v>
      </c>
    </row>
    <row r="4" spans="1:7" x14ac:dyDescent="0.55000000000000004">
      <c r="A4" t="s">
        <v>6</v>
      </c>
      <c r="B4" s="3" t="s">
        <v>11</v>
      </c>
      <c r="C4" s="3" t="s">
        <v>12</v>
      </c>
      <c r="D4" s="3" t="s">
        <v>13</v>
      </c>
      <c r="E4" s="3" t="s">
        <v>13</v>
      </c>
      <c r="F4" t="s">
        <v>4</v>
      </c>
      <c r="G4" t="s">
        <v>14</v>
      </c>
    </row>
    <row r="5" spans="1:7" x14ac:dyDescent="0.55000000000000004">
      <c r="A5">
        <v>10</v>
      </c>
      <c r="B5" s="3">
        <v>2.5545755553405298E-9</v>
      </c>
      <c r="C5" s="3">
        <v>2.7282671312878201E-9</v>
      </c>
      <c r="D5" s="3">
        <v>2.5545755553601299E-9</v>
      </c>
      <c r="E5" s="3">
        <v>2.55514557646514E-9</v>
      </c>
      <c r="F5" s="3">
        <f t="shared" ref="F5:F25" si="0">((D5-$B5)/D5)*100</f>
        <v>7.672524922317628E-10</v>
      </c>
      <c r="G5" s="4">
        <f t="shared" ref="G5:G25" si="1">((E5-$C5)/E5)*100</f>
        <v>-6.7754086662326811</v>
      </c>
    </row>
    <row r="6" spans="1:7" x14ac:dyDescent="0.55000000000000004">
      <c r="A6">
        <v>11</v>
      </c>
      <c r="B6" s="3">
        <v>2.7899126636946901E-9</v>
      </c>
      <c r="C6" s="3">
        <v>2.6728483450507102E-9</v>
      </c>
      <c r="D6" s="3">
        <v>2.7899126636946901E-9</v>
      </c>
      <c r="E6" s="3">
        <v>2.79060088419324E-9</v>
      </c>
      <c r="F6" s="3">
        <f t="shared" si="0"/>
        <v>0</v>
      </c>
      <c r="G6" s="4">
        <f t="shared" si="1"/>
        <v>4.219612335447672</v>
      </c>
    </row>
    <row r="7" spans="1:7" x14ac:dyDescent="0.55000000000000004">
      <c r="A7">
        <v>12</v>
      </c>
      <c r="B7" s="3">
        <v>2.7536590174222802E-9</v>
      </c>
      <c r="C7" s="3">
        <v>2.7911689206723098E-9</v>
      </c>
      <c r="D7" s="3">
        <v>2.7536590174222802E-9</v>
      </c>
      <c r="E7" s="3">
        <v>2.7543865198243501E-9</v>
      </c>
      <c r="F7" s="3">
        <f t="shared" si="0"/>
        <v>0</v>
      </c>
      <c r="G7" s="4">
        <f t="shared" si="1"/>
        <v>-1.3354117362695102</v>
      </c>
    </row>
    <row r="8" spans="1:7" x14ac:dyDescent="0.55000000000000004">
      <c r="A8">
        <v>13</v>
      </c>
      <c r="B8" s="3">
        <v>2.6037246205168101E-9</v>
      </c>
      <c r="C8" s="3">
        <v>2.7339688499402001E-9</v>
      </c>
      <c r="D8" s="3">
        <v>2.6037246205168101E-9</v>
      </c>
      <c r="E8" s="3">
        <v>2.6043451011475899E-9</v>
      </c>
      <c r="F8" s="3">
        <f t="shared" si="0"/>
        <v>0</v>
      </c>
      <c r="G8" s="4">
        <f t="shared" si="1"/>
        <v>-4.9772109209141355</v>
      </c>
    </row>
    <row r="9" spans="1:7" x14ac:dyDescent="0.55000000000000004">
      <c r="A9">
        <v>14</v>
      </c>
      <c r="B9" s="3">
        <v>2.7434104842780402E-9</v>
      </c>
      <c r="C9" s="3">
        <v>2.7338872897647201E-9</v>
      </c>
      <c r="D9" s="3">
        <v>2.7434104842780402E-9</v>
      </c>
      <c r="E9" s="3">
        <v>2.7440196560804799E-9</v>
      </c>
      <c r="F9" s="3">
        <f t="shared" si="0"/>
        <v>0</v>
      </c>
      <c r="G9" s="4">
        <f t="shared" si="1"/>
        <v>0.36925268714119452</v>
      </c>
    </row>
    <row r="10" spans="1:7" x14ac:dyDescent="0.55000000000000004">
      <c r="A10">
        <v>15</v>
      </c>
      <c r="B10" s="3">
        <v>2.8544296585728398E-9</v>
      </c>
      <c r="C10" s="3">
        <v>2.6983004517573301E-9</v>
      </c>
      <c r="D10" s="3">
        <v>2.8544296585728398E-9</v>
      </c>
      <c r="E10" s="3">
        <v>2.8549481547880301E-9</v>
      </c>
      <c r="F10" s="3">
        <f t="shared" si="0"/>
        <v>0</v>
      </c>
      <c r="G10" s="4">
        <f t="shared" si="1"/>
        <v>5.4868843333629824</v>
      </c>
    </row>
    <row r="11" spans="1:7" x14ac:dyDescent="0.55000000000000004">
      <c r="A11">
        <v>16</v>
      </c>
      <c r="B11" s="3">
        <v>2.7620502352082199E-9</v>
      </c>
      <c r="C11" s="3">
        <v>2.7292255530463299E-9</v>
      </c>
      <c r="D11" s="3">
        <v>2.7620502352063E-9</v>
      </c>
      <c r="E11" s="3">
        <v>2.7629946678291899E-9</v>
      </c>
      <c r="F11" s="3">
        <f t="shared" si="0"/>
        <v>-6.9509459938992715E-11</v>
      </c>
      <c r="G11" s="4">
        <f t="shared" si="1"/>
        <v>1.2221925426078171</v>
      </c>
    </row>
    <row r="12" spans="1:7" x14ac:dyDescent="0.55000000000000004">
      <c r="A12">
        <v>17</v>
      </c>
      <c r="B12" s="3">
        <v>2.7223422074990402E-9</v>
      </c>
      <c r="C12" s="3">
        <v>2.7538569520165399E-9</v>
      </c>
      <c r="D12" s="3">
        <v>2.7223422074952E-9</v>
      </c>
      <c r="E12" s="3">
        <v>2.72289545707481E-9</v>
      </c>
      <c r="F12" s="3">
        <f t="shared" si="0"/>
        <v>-1.4106183944121954E-10</v>
      </c>
      <c r="G12" s="4">
        <f t="shared" si="1"/>
        <v>-1.1370798265972222</v>
      </c>
    </row>
    <row r="13" spans="1:7" x14ac:dyDescent="0.55000000000000004">
      <c r="A13">
        <v>18</v>
      </c>
      <c r="B13" s="3">
        <v>2.7751313061152901E-9</v>
      </c>
      <c r="C13" s="3">
        <v>2.7497064382033499E-9</v>
      </c>
      <c r="D13" s="3">
        <v>2.7751313061099102E-9</v>
      </c>
      <c r="E13" s="3">
        <v>2.7758745286282599E-9</v>
      </c>
      <c r="F13" s="3">
        <f t="shared" si="0"/>
        <v>-1.9386407742941645E-10</v>
      </c>
      <c r="G13" s="4">
        <f t="shared" si="1"/>
        <v>0.94269716282318117</v>
      </c>
    </row>
    <row r="14" spans="1:7" x14ac:dyDescent="0.55000000000000004">
      <c r="A14">
        <v>19</v>
      </c>
      <c r="B14" s="3">
        <v>2.7560272837689098E-9</v>
      </c>
      <c r="C14" s="3">
        <v>2.7404234564615402E-9</v>
      </c>
      <c r="D14" s="3">
        <v>2.7560272837724502E-9</v>
      </c>
      <c r="E14" s="3">
        <v>2.75657177929074E-9</v>
      </c>
      <c r="F14" s="3">
        <f t="shared" si="0"/>
        <v>1.2845783648705214E-10</v>
      </c>
      <c r="G14" s="4">
        <f t="shared" si="1"/>
        <v>0.58581180256277354</v>
      </c>
    </row>
    <row r="15" spans="1:7" x14ac:dyDescent="0.55000000000000004">
      <c r="A15">
        <v>20</v>
      </c>
      <c r="B15" s="3">
        <v>2.6829739468141001E-9</v>
      </c>
      <c r="C15" s="3">
        <v>2.7254297745274302E-9</v>
      </c>
      <c r="D15" s="3">
        <v>2.6829739468141001E-9</v>
      </c>
      <c r="E15" s="3">
        <v>2.6835199901167801E-9</v>
      </c>
      <c r="F15" s="3">
        <f t="shared" si="0"/>
        <v>0</v>
      </c>
      <c r="G15" s="4">
        <f t="shared" si="1"/>
        <v>-1.5617466821563055</v>
      </c>
    </row>
    <row r="16" spans="1:7" x14ac:dyDescent="0.55000000000000004">
      <c r="A16">
        <v>21</v>
      </c>
      <c r="B16" s="3">
        <v>2.7767961674557701E-9</v>
      </c>
      <c r="C16" s="3">
        <v>2.72978244012819E-9</v>
      </c>
      <c r="D16" s="3">
        <v>2.77679616745355E-9</v>
      </c>
      <c r="E16" s="3">
        <v>2.7772900233544301E-9</v>
      </c>
      <c r="F16" s="3">
        <f t="shared" si="0"/>
        <v>-7.9953753542101313E-11</v>
      </c>
      <c r="G16" s="4">
        <f t="shared" si="1"/>
        <v>1.7105733584445781</v>
      </c>
    </row>
    <row r="17" spans="1:7" x14ac:dyDescent="0.55000000000000004">
      <c r="A17">
        <v>22</v>
      </c>
      <c r="B17" s="3">
        <v>2.74807927787862E-9</v>
      </c>
      <c r="C17" s="3">
        <v>2.74618092216749E-9</v>
      </c>
      <c r="D17" s="3">
        <v>2.7480792779040798E-9</v>
      </c>
      <c r="E17" s="3">
        <v>2.74858817989257E-9</v>
      </c>
      <c r="F17" s="3">
        <f t="shared" si="0"/>
        <v>9.2645770005541667E-10</v>
      </c>
      <c r="G17" s="4">
        <f t="shared" si="1"/>
        <v>8.7581607993893792E-2</v>
      </c>
    </row>
    <row r="18" spans="1:7" x14ac:dyDescent="0.55000000000000004">
      <c r="A18">
        <v>23</v>
      </c>
      <c r="B18" s="3">
        <v>2.70140597476709E-9</v>
      </c>
      <c r="C18" s="3">
        <v>2.7415241059349199E-9</v>
      </c>
      <c r="D18" s="3">
        <v>2.7014059747807401E-9</v>
      </c>
      <c r="E18" s="3">
        <v>2.7019552470713602E-9</v>
      </c>
      <c r="F18" s="3">
        <f t="shared" si="0"/>
        <v>5.0529741163610095E-10</v>
      </c>
      <c r="G18" s="4">
        <f t="shared" si="1"/>
        <v>-1.4644527849396562</v>
      </c>
    </row>
    <row r="19" spans="1:7" x14ac:dyDescent="0.55000000000000004">
      <c r="A19">
        <v>24</v>
      </c>
      <c r="B19" s="3">
        <v>2.7334747105585001E-9</v>
      </c>
      <c r="C19" s="3">
        <v>2.7404894295510999E-9</v>
      </c>
      <c r="D19" s="3">
        <v>2.7334747105585001E-9</v>
      </c>
      <c r="E19" s="3">
        <v>2.73426298070022E-9</v>
      </c>
      <c r="F19" s="3">
        <f t="shared" si="0"/>
        <v>0</v>
      </c>
      <c r="G19" s="4">
        <f t="shared" si="1"/>
        <v>-0.22771945839991301</v>
      </c>
    </row>
    <row r="20" spans="1:7" x14ac:dyDescent="0.55000000000000004">
      <c r="A20">
        <v>25</v>
      </c>
      <c r="B20" s="3">
        <v>2.7474127687172098E-9</v>
      </c>
      <c r="C20" s="3">
        <v>2.72937067942081E-9</v>
      </c>
      <c r="D20" s="3">
        <v>2.74741276875085E-9</v>
      </c>
      <c r="E20" s="3">
        <v>2.7479055092710102E-9</v>
      </c>
      <c r="F20" s="3">
        <f t="shared" si="0"/>
        <v>1.2244317681069741E-9</v>
      </c>
      <c r="G20" s="4">
        <f t="shared" si="1"/>
        <v>0.67450753993056023</v>
      </c>
    </row>
    <row r="21" spans="1:7" x14ac:dyDescent="0.55000000000000004">
      <c r="A21">
        <v>26</v>
      </c>
      <c r="B21" s="3">
        <v>2.7307455019767401E-9</v>
      </c>
      <c r="C21" s="3">
        <v>2.7362125407040202E-9</v>
      </c>
      <c r="D21" s="3">
        <v>2.7307455019724098E-9</v>
      </c>
      <c r="E21" s="3">
        <v>2.7315119105015099E-9</v>
      </c>
      <c r="F21" s="3">
        <f t="shared" si="0"/>
        <v>-1.5857539648375667E-10</v>
      </c>
      <c r="G21" s="4">
        <f t="shared" si="1"/>
        <v>-0.17208895134003716</v>
      </c>
    </row>
    <row r="22" spans="1:7" x14ac:dyDescent="0.55000000000000004">
      <c r="A22">
        <v>27</v>
      </c>
      <c r="B22" s="3">
        <v>2.7436991417710998E-9</v>
      </c>
      <c r="C22" s="3">
        <v>2.7394479355556599E-9</v>
      </c>
      <c r="D22" s="3">
        <v>2.74369914176306E-9</v>
      </c>
      <c r="E22" s="3">
        <v>2.74420727042109E-9</v>
      </c>
      <c r="F22" s="3">
        <f t="shared" si="0"/>
        <v>-2.9302709766286216E-10</v>
      </c>
      <c r="G22" s="4">
        <f t="shared" si="1"/>
        <v>0.17343204781684518</v>
      </c>
    </row>
    <row r="23" spans="1:7" x14ac:dyDescent="0.55000000000000004">
      <c r="A23">
        <v>28</v>
      </c>
      <c r="B23" s="3">
        <v>2.7407353510398202E-9</v>
      </c>
      <c r="C23" s="3">
        <v>2.7411679215752499E-9</v>
      </c>
      <c r="D23" s="3">
        <v>2.7407353510415498E-9</v>
      </c>
      <c r="E23" s="3">
        <v>2.7412511652626199E-9</v>
      </c>
      <c r="F23" s="3">
        <f t="shared" si="0"/>
        <v>6.3108415783051637E-11</v>
      </c>
      <c r="G23" s="4">
        <f t="shared" si="1"/>
        <v>3.0367041307580245E-3</v>
      </c>
    </row>
    <row r="24" spans="1:7" x14ac:dyDescent="0.55000000000000004">
      <c r="A24">
        <v>29</v>
      </c>
      <c r="B24" s="3">
        <v>2.73873959221829E-9</v>
      </c>
      <c r="C24" s="3">
        <v>2.73796913256512E-9</v>
      </c>
      <c r="D24" s="3">
        <v>2.7387395922173702E-9</v>
      </c>
      <c r="E24" s="3">
        <v>2.7392363371823399E-9</v>
      </c>
      <c r="F24" s="3">
        <f t="shared" si="0"/>
        <v>-3.3585699194359968E-11</v>
      </c>
      <c r="G24" s="4">
        <f t="shared" si="1"/>
        <v>4.626123711995498E-2</v>
      </c>
    </row>
    <row r="25" spans="1:7" x14ac:dyDescent="0.55000000000000004">
      <c r="A25">
        <v>30</v>
      </c>
      <c r="B25" s="3">
        <v>2.7455115551449601E-9</v>
      </c>
      <c r="C25" s="3">
        <v>2.7329970412231499E-9</v>
      </c>
      <c r="D25" s="3">
        <v>2.7455115551419599E-9</v>
      </c>
      <c r="E25" s="3">
        <v>2.7460160440836502E-9</v>
      </c>
      <c r="F25" s="3">
        <f t="shared" si="0"/>
        <v>-1.092759590143012E-10</v>
      </c>
      <c r="G25" s="4">
        <f t="shared" si="1"/>
        <v>0.47410512726427784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83FE-60AC-4C96-A8C8-4A2335FD988F}">
  <dimension ref="A1:G25"/>
  <sheetViews>
    <sheetView workbookViewId="0">
      <selection sqref="A1:G1048576"/>
    </sheetView>
  </sheetViews>
  <sheetFormatPr defaultRowHeight="14.4" x14ac:dyDescent="0.55000000000000004"/>
  <cols>
    <col min="1" max="1" width="13.41796875" bestFit="1" customWidth="1"/>
    <col min="2" max="5" width="9.7890625" bestFit="1" customWidth="1"/>
    <col min="6" max="6" width="13.41796875" bestFit="1" customWidth="1"/>
    <col min="7" max="7" width="9.20703125" bestFit="1" customWidth="1"/>
  </cols>
  <sheetData>
    <row r="1" spans="1:7" x14ac:dyDescent="0.55000000000000004">
      <c r="A1" t="s">
        <v>15</v>
      </c>
      <c r="B1" s="3" t="s">
        <v>2</v>
      </c>
      <c r="C1" s="3"/>
      <c r="D1" s="3"/>
      <c r="E1" s="3"/>
    </row>
    <row r="2" spans="1:7" x14ac:dyDescent="0.55000000000000004">
      <c r="A2" t="s">
        <v>16</v>
      </c>
      <c r="B2" s="3" t="s">
        <v>10</v>
      </c>
      <c r="C2" s="3"/>
      <c r="D2" s="3"/>
      <c r="E2" s="3"/>
    </row>
    <row r="3" spans="1:7" x14ac:dyDescent="0.55000000000000004">
      <c r="A3" t="s">
        <v>0</v>
      </c>
      <c r="B3" s="3"/>
      <c r="C3" s="3"/>
      <c r="D3" s="3" t="s">
        <v>4</v>
      </c>
      <c r="E3" s="3" t="s">
        <v>14</v>
      </c>
      <c r="F3" t="s">
        <v>17</v>
      </c>
    </row>
    <row r="4" spans="1:7" x14ac:dyDescent="0.55000000000000004">
      <c r="A4" t="s">
        <v>6</v>
      </c>
      <c r="B4" s="3" t="s">
        <v>11</v>
      </c>
      <c r="C4" s="3" t="s">
        <v>12</v>
      </c>
      <c r="D4" s="3" t="s">
        <v>13</v>
      </c>
      <c r="E4" s="3" t="s">
        <v>13</v>
      </c>
      <c r="F4" t="s">
        <v>4</v>
      </c>
      <c r="G4" t="s">
        <v>14</v>
      </c>
    </row>
    <row r="5" spans="1:7" x14ac:dyDescent="0.55000000000000004">
      <c r="A5">
        <v>10</v>
      </c>
      <c r="B5" s="3">
        <v>3.65623783384259E-6</v>
      </c>
      <c r="C5" s="3">
        <v>3.6016885244335801E-6</v>
      </c>
      <c r="D5" s="3">
        <v>3.6384989112308901E-6</v>
      </c>
      <c r="E5" s="3">
        <v>3.69264178190235E-6</v>
      </c>
      <c r="F5" s="4">
        <f t="shared" ref="F5:F25" si="0">((D5-$B5)/D5)*100</f>
        <v>-0.48753409151629712</v>
      </c>
      <c r="G5" s="4">
        <f t="shared" ref="G5:G25" si="1">((E5-$B5)/E5)*100</f>
        <v>0.98585105758635605</v>
      </c>
    </row>
    <row r="6" spans="1:7" x14ac:dyDescent="0.55000000000000004">
      <c r="A6">
        <v>11</v>
      </c>
      <c r="B6" s="3">
        <v>3.6483873438100202E-6</v>
      </c>
      <c r="C6" s="3">
        <v>3.58101422879066E-6</v>
      </c>
      <c r="D6" s="3">
        <v>3.6453026849241799E-6</v>
      </c>
      <c r="E6" s="3">
        <v>3.6964282473277699E-6</v>
      </c>
      <c r="F6" s="4">
        <f t="shared" si="0"/>
        <v>-8.4620102977934319E-2</v>
      </c>
      <c r="G6" s="4">
        <f t="shared" si="1"/>
        <v>1.2996574071870493</v>
      </c>
    </row>
    <row r="7" spans="1:7" x14ac:dyDescent="0.55000000000000004">
      <c r="A7">
        <v>12</v>
      </c>
      <c r="B7" s="3">
        <v>3.64817300249591E-6</v>
      </c>
      <c r="C7" s="3">
        <v>3.5802276352862099E-6</v>
      </c>
      <c r="D7" s="3">
        <v>3.6425317159377801E-6</v>
      </c>
      <c r="E7" s="3">
        <v>3.70806036874007E-6</v>
      </c>
      <c r="F7" s="4">
        <f t="shared" si="0"/>
        <v>-0.15487268191644554</v>
      </c>
      <c r="G7" s="4">
        <f t="shared" si="1"/>
        <v>1.6150590952894486</v>
      </c>
    </row>
    <row r="8" spans="1:7" x14ac:dyDescent="0.55000000000000004">
      <c r="A8">
        <v>13</v>
      </c>
      <c r="B8" s="3">
        <v>3.6673279789637402E-6</v>
      </c>
      <c r="C8" s="3">
        <v>3.57695198926349E-6</v>
      </c>
      <c r="D8" s="3">
        <v>3.6651850251659099E-6</v>
      </c>
      <c r="E8" s="3">
        <v>3.7138295357231002E-6</v>
      </c>
      <c r="F8" s="4">
        <f t="shared" si="0"/>
        <v>-5.8467820399688862E-2</v>
      </c>
      <c r="G8" s="4">
        <f t="shared" si="1"/>
        <v>1.2521187715285353</v>
      </c>
    </row>
    <row r="9" spans="1:7" x14ac:dyDescent="0.55000000000000004">
      <c r="A9">
        <v>14</v>
      </c>
      <c r="B9" s="3">
        <v>3.65853751655554E-6</v>
      </c>
      <c r="C9" s="3">
        <v>3.5915929353577401E-6</v>
      </c>
      <c r="D9" s="3">
        <v>3.65514034342771E-6</v>
      </c>
      <c r="E9" s="3">
        <v>3.72097007492596E-6</v>
      </c>
      <c r="F9" s="4">
        <f t="shared" si="0"/>
        <v>-9.2942344442080771E-2</v>
      </c>
      <c r="G9" s="4">
        <f t="shared" si="1"/>
        <v>1.6778570403219988</v>
      </c>
    </row>
    <row r="10" spans="1:7" x14ac:dyDescent="0.55000000000000004">
      <c r="A10">
        <v>15</v>
      </c>
      <c r="B10" s="3">
        <v>3.6548010767276901E-6</v>
      </c>
      <c r="C10" s="3">
        <v>3.5876882462957999E-6</v>
      </c>
      <c r="D10" s="3">
        <v>3.6481544874738E-6</v>
      </c>
      <c r="E10" s="3">
        <v>3.7301158007480099E-6</v>
      </c>
      <c r="F10" s="4">
        <f t="shared" si="0"/>
        <v>-0.18219045483714039</v>
      </c>
      <c r="G10" s="4">
        <f t="shared" si="1"/>
        <v>2.0190988173937341</v>
      </c>
    </row>
    <row r="11" spans="1:7" x14ac:dyDescent="0.55000000000000004">
      <c r="A11">
        <v>16</v>
      </c>
      <c r="B11" s="3">
        <v>3.6647566784097499E-6</v>
      </c>
      <c r="C11" s="3">
        <v>3.5766906011930101E-6</v>
      </c>
      <c r="D11" s="3">
        <v>3.8610310181920999E-6</v>
      </c>
      <c r="E11" s="3">
        <v>3.7333695235785902E-6</v>
      </c>
      <c r="F11" s="4">
        <f t="shared" si="0"/>
        <v>5.0834696447026753</v>
      </c>
      <c r="G11" s="4">
        <f t="shared" si="1"/>
        <v>1.8378262514735497</v>
      </c>
    </row>
    <row r="12" spans="1:7" x14ac:dyDescent="0.55000000000000004">
      <c r="A12">
        <v>17</v>
      </c>
      <c r="B12" s="3">
        <v>3.6678395172647299E-6</v>
      </c>
      <c r="C12" s="3">
        <v>3.5719116232814199E-6</v>
      </c>
      <c r="D12" s="3">
        <v>3.8661571813624504E-6</v>
      </c>
      <c r="E12" s="3">
        <v>3.7391568823441298E-6</v>
      </c>
      <c r="F12" s="4">
        <f t="shared" si="0"/>
        <v>5.1295809972173059</v>
      </c>
      <c r="G12" s="4">
        <f t="shared" si="1"/>
        <v>1.9073113892640423</v>
      </c>
    </row>
    <row r="13" spans="1:7" x14ac:dyDescent="0.55000000000000004">
      <c r="A13">
        <v>18</v>
      </c>
      <c r="B13" s="3">
        <v>3.6579578441709701E-6</v>
      </c>
      <c r="C13" s="3">
        <v>3.57756241698543E-6</v>
      </c>
      <c r="D13" s="3">
        <v>3.6452124266363998E-6</v>
      </c>
      <c r="E13" s="3">
        <v>3.7374518790122399E-6</v>
      </c>
      <c r="F13" s="4">
        <f t="shared" si="0"/>
        <v>-0.34964814235342373</v>
      </c>
      <c r="G13" s="4">
        <f t="shared" si="1"/>
        <v>2.1269580830637738</v>
      </c>
    </row>
    <row r="14" spans="1:7" x14ac:dyDescent="0.55000000000000004">
      <c r="A14">
        <v>19</v>
      </c>
      <c r="B14" s="3">
        <v>3.6634226703804002E-6</v>
      </c>
      <c r="C14" s="3">
        <v>3.5772327402862599E-6</v>
      </c>
      <c r="D14" s="3">
        <v>3.6420395869599499E-6</v>
      </c>
      <c r="E14" s="3">
        <v>3.7456267079422701E-6</v>
      </c>
      <c r="F14" s="4">
        <f t="shared" si="0"/>
        <v>-0.58711836897684488</v>
      </c>
      <c r="G14" s="4">
        <f t="shared" si="1"/>
        <v>2.1946671137186082</v>
      </c>
    </row>
    <row r="15" spans="1:7" x14ac:dyDescent="0.55000000000000004">
      <c r="A15">
        <v>20</v>
      </c>
      <c r="B15" s="3">
        <v>3.6712934366865399E-6</v>
      </c>
      <c r="C15" s="3">
        <v>3.5761716743322001E-6</v>
      </c>
      <c r="D15" s="3">
        <v>3.6665898093991799E-6</v>
      </c>
      <c r="E15" s="3">
        <v>3.7396966559452399E-6</v>
      </c>
      <c r="F15" s="4">
        <f t="shared" si="0"/>
        <v>-0.12828343315912852</v>
      </c>
      <c r="G15" s="4">
        <f t="shared" si="1"/>
        <v>1.8291114374197937</v>
      </c>
    </row>
    <row r="16" spans="1:7" x14ac:dyDescent="0.55000000000000004">
      <c r="A16">
        <v>21</v>
      </c>
      <c r="B16" s="3">
        <v>3.6694702467809602E-6</v>
      </c>
      <c r="C16" s="3">
        <v>3.57465796779126E-6</v>
      </c>
      <c r="D16" s="3">
        <v>4.5748181415786102E-6</v>
      </c>
      <c r="E16" s="3">
        <v>3.74971666184453E-6</v>
      </c>
      <c r="F16" s="4">
        <f t="shared" si="0"/>
        <v>19.789811677306282</v>
      </c>
      <c r="G16" s="4">
        <f t="shared" si="1"/>
        <v>2.1400660983300979</v>
      </c>
    </row>
    <row r="17" spans="1:7" x14ac:dyDescent="0.55000000000000004">
      <c r="A17">
        <v>22</v>
      </c>
      <c r="B17" s="3">
        <v>3.6670136684669301E-6</v>
      </c>
      <c r="C17" s="3">
        <v>3.5735926602855899E-6</v>
      </c>
      <c r="D17" s="3">
        <v>4.5774530687957504E-6</v>
      </c>
      <c r="E17" s="3">
        <v>3.7571592861969802E-6</v>
      </c>
      <c r="F17" s="4">
        <f t="shared" si="0"/>
        <v>19.889650131756376</v>
      </c>
      <c r="G17" s="4">
        <f t="shared" si="1"/>
        <v>2.3993025278759474</v>
      </c>
    </row>
    <row r="18" spans="1:7" x14ac:dyDescent="0.55000000000000004">
      <c r="A18">
        <v>23</v>
      </c>
      <c r="B18" s="3">
        <v>3.6708394886507599E-6</v>
      </c>
      <c r="C18" s="3">
        <v>3.5756856453482401E-6</v>
      </c>
      <c r="D18" s="3">
        <v>3.6622516398684998E-6</v>
      </c>
      <c r="E18" s="3">
        <v>3.7615619316057101E-6</v>
      </c>
      <c r="F18" s="4">
        <f t="shared" si="0"/>
        <v>-0.23449641441264982</v>
      </c>
      <c r="G18" s="4">
        <f t="shared" si="1"/>
        <v>2.4118290381629626</v>
      </c>
    </row>
    <row r="19" spans="1:7" x14ac:dyDescent="0.55000000000000004">
      <c r="A19">
        <v>24</v>
      </c>
      <c r="B19" s="3">
        <v>3.67013144912359E-6</v>
      </c>
      <c r="C19" s="3">
        <v>3.5763172979737901E-6</v>
      </c>
      <c r="D19" s="3">
        <v>3.66717843881562E-6</v>
      </c>
      <c r="E19" s="3">
        <v>3.7645238479344501E-6</v>
      </c>
      <c r="F19" s="4">
        <f t="shared" si="0"/>
        <v>-8.0525405491959273E-2</v>
      </c>
      <c r="G19" s="4">
        <f t="shared" si="1"/>
        <v>2.5074193343907765</v>
      </c>
    </row>
    <row r="20" spans="1:7" x14ac:dyDescent="0.55000000000000004">
      <c r="A20">
        <v>25</v>
      </c>
      <c r="B20" s="3">
        <v>3.6710380663553501E-6</v>
      </c>
      <c r="C20" s="3">
        <v>3.5750218414881298E-6</v>
      </c>
      <c r="D20" s="3">
        <v>3.65787361387387E-6</v>
      </c>
      <c r="E20" s="3">
        <v>3.7609273607020002E-6</v>
      </c>
      <c r="F20" s="4">
        <f t="shared" si="0"/>
        <v>-0.3598935849382271</v>
      </c>
      <c r="G20" s="4">
        <f t="shared" si="1"/>
        <v>2.3900832354781678</v>
      </c>
    </row>
    <row r="21" spans="1:7" x14ac:dyDescent="0.55000000000000004">
      <c r="A21">
        <v>26</v>
      </c>
      <c r="B21" s="3">
        <v>3.6717482050369698E-6</v>
      </c>
      <c r="C21" s="3">
        <v>3.57403130594498E-6</v>
      </c>
      <c r="D21" s="3">
        <v>4.8623931861992398E-6</v>
      </c>
      <c r="E21" s="3">
        <v>3.77441598476994E-6</v>
      </c>
      <c r="F21" s="4">
        <f t="shared" si="0"/>
        <v>24.486810004210188</v>
      </c>
      <c r="G21" s="4">
        <f t="shared" si="1"/>
        <v>2.7200970997166882</v>
      </c>
    </row>
    <row r="22" spans="1:7" x14ac:dyDescent="0.55000000000000004">
      <c r="A22">
        <v>27</v>
      </c>
      <c r="B22" s="3">
        <v>3.6681397097875302E-6</v>
      </c>
      <c r="C22" s="3">
        <v>3.5726931323783698E-6</v>
      </c>
      <c r="D22" s="3">
        <v>3.6661500983057499E-6</v>
      </c>
      <c r="E22" s="3">
        <v>3.7740463325195401E-6</v>
      </c>
      <c r="F22" s="4">
        <f t="shared" si="0"/>
        <v>-5.4269776971209861E-2</v>
      </c>
      <c r="G22" s="4">
        <f t="shared" si="1"/>
        <v>2.8061823677004787</v>
      </c>
    </row>
    <row r="23" spans="1:7" x14ac:dyDescent="0.55000000000000004">
      <c r="A23">
        <v>28</v>
      </c>
      <c r="B23" s="3">
        <v>3.67025335628106E-6</v>
      </c>
      <c r="C23" s="3">
        <v>3.57502379213762E-6</v>
      </c>
      <c r="D23" s="3">
        <v>3.6569997704056001E-6</v>
      </c>
      <c r="E23" s="3">
        <v>3.7791659763142399E-6</v>
      </c>
      <c r="F23" s="4">
        <f t="shared" si="0"/>
        <v>-0.36241691844541341</v>
      </c>
      <c r="G23" s="4">
        <f t="shared" si="1"/>
        <v>2.8819221149794716</v>
      </c>
    </row>
    <row r="24" spans="1:7" x14ac:dyDescent="0.55000000000000004">
      <c r="A24">
        <v>29</v>
      </c>
      <c r="B24" s="3">
        <v>3.6741548381850299E-6</v>
      </c>
      <c r="C24" s="3">
        <v>3.5745290268602902E-6</v>
      </c>
      <c r="D24" s="3">
        <v>5.0000426175273198E-6</v>
      </c>
      <c r="E24" s="3">
        <v>3.77657126965367E-6</v>
      </c>
      <c r="F24" s="4">
        <f t="shared" si="0"/>
        <v>26.517529564537668</v>
      </c>
      <c r="G24" s="4">
        <f t="shared" si="1"/>
        <v>2.7118892814654121</v>
      </c>
    </row>
    <row r="25" spans="1:7" x14ac:dyDescent="0.55000000000000004">
      <c r="A25">
        <v>30</v>
      </c>
      <c r="B25" s="3">
        <v>3.6703921227785102E-6</v>
      </c>
      <c r="C25" s="3">
        <v>3.5738335411934301E-6</v>
      </c>
      <c r="D25" s="3">
        <v>3.6581285143416199E-6</v>
      </c>
      <c r="E25" s="3">
        <v>3.7759490635053499E-6</v>
      </c>
      <c r="F25" s="4">
        <f t="shared" si="0"/>
        <v>-0.33524269004795854</v>
      </c>
      <c r="G25" s="4">
        <f t="shared" si="1"/>
        <v>2.7955075386755208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C6E7-7A50-45F7-B18D-DA74A5E5CDB4}">
  <dimension ref="A1:G25"/>
  <sheetViews>
    <sheetView workbookViewId="0">
      <selection activeCell="F9" sqref="F9"/>
    </sheetView>
  </sheetViews>
  <sheetFormatPr defaultRowHeight="14.4" x14ac:dyDescent="0.55000000000000004"/>
  <cols>
    <col min="1" max="1" width="13.41796875" bestFit="1" customWidth="1"/>
    <col min="2" max="5" width="9.7890625" bestFit="1" customWidth="1"/>
    <col min="6" max="6" width="13.41796875" bestFit="1" customWidth="1"/>
    <col min="7" max="7" width="9.20703125" bestFit="1" customWidth="1"/>
  </cols>
  <sheetData>
    <row r="1" spans="1:7" x14ac:dyDescent="0.55000000000000004">
      <c r="A1" t="s">
        <v>15</v>
      </c>
      <c r="B1" t="s">
        <v>2</v>
      </c>
    </row>
    <row r="2" spans="1:7" x14ac:dyDescent="0.55000000000000004">
      <c r="A2" t="s">
        <v>16</v>
      </c>
      <c r="B2" t="s">
        <v>5</v>
      </c>
    </row>
    <row r="3" spans="1:7" x14ac:dyDescent="0.55000000000000004">
      <c r="A3" t="s">
        <v>0</v>
      </c>
      <c r="D3" t="s">
        <v>4</v>
      </c>
      <c r="E3" t="s">
        <v>14</v>
      </c>
      <c r="F3" t="s">
        <v>17</v>
      </c>
    </row>
    <row r="4" spans="1:7" x14ac:dyDescent="0.55000000000000004">
      <c r="A4" t="s">
        <v>6</v>
      </c>
      <c r="B4" t="s">
        <v>11</v>
      </c>
      <c r="C4" t="s">
        <v>12</v>
      </c>
      <c r="D4" t="s">
        <v>13</v>
      </c>
      <c r="E4" t="s">
        <v>13</v>
      </c>
      <c r="F4" t="s">
        <v>4</v>
      </c>
      <c r="G4" t="s">
        <v>14</v>
      </c>
    </row>
    <row r="5" spans="1:7" x14ac:dyDescent="0.55000000000000004">
      <c r="A5">
        <v>10</v>
      </c>
      <c r="B5" s="3">
        <v>2.5545755553405298E-9</v>
      </c>
      <c r="C5" s="3">
        <v>2.7282671312878201E-9</v>
      </c>
      <c r="D5" s="3">
        <v>2.5545755553059098E-9</v>
      </c>
      <c r="E5" s="3">
        <v>2.5551213850138301E-9</v>
      </c>
      <c r="F5" s="3">
        <f t="shared" ref="F5:F25" si="0">((D5-$B5)/D5)*100</f>
        <v>-1.3552149634124301E-9</v>
      </c>
      <c r="G5" s="4">
        <f t="shared" ref="G5:G25" si="1">((E5-$C5)/E5)*100</f>
        <v>-6.7764195974999764</v>
      </c>
    </row>
    <row r="6" spans="1:7" x14ac:dyDescent="0.55000000000000004">
      <c r="A6">
        <v>11</v>
      </c>
      <c r="B6" s="3">
        <v>2.7899126636946901E-9</v>
      </c>
      <c r="C6" s="3">
        <v>2.6728483450507102E-9</v>
      </c>
      <c r="D6" s="3">
        <v>2.7899126636946202E-9</v>
      </c>
      <c r="E6" s="3">
        <v>2.7904374117680398E-9</v>
      </c>
      <c r="F6" s="3">
        <f t="shared" si="0"/>
        <v>-2.5053387036197787E-12</v>
      </c>
      <c r="G6" s="4">
        <f t="shared" si="1"/>
        <v>4.2140012250919607</v>
      </c>
    </row>
    <row r="7" spans="1:7" x14ac:dyDescent="0.55000000000000004">
      <c r="A7">
        <v>12</v>
      </c>
      <c r="B7" s="3">
        <v>2.7536590174222802E-9</v>
      </c>
      <c r="C7" s="3">
        <v>2.7911689206723098E-9</v>
      </c>
      <c r="D7" s="3">
        <v>2.7536590174222698E-9</v>
      </c>
      <c r="E7" s="3">
        <v>2.7542052495760698E-9</v>
      </c>
      <c r="F7" s="3">
        <f t="shared" si="0"/>
        <v>-3.754915765348466E-13</v>
      </c>
      <c r="G7" s="4">
        <f t="shared" si="1"/>
        <v>-1.3420812084331577</v>
      </c>
    </row>
    <row r="8" spans="1:7" x14ac:dyDescent="0.55000000000000004">
      <c r="A8">
        <v>13</v>
      </c>
      <c r="B8" s="3">
        <v>2.6037246205168101E-9</v>
      </c>
      <c r="C8" s="3">
        <v>2.7339688499401902E-9</v>
      </c>
      <c r="D8" s="3">
        <v>2.6037246205168399E-9</v>
      </c>
      <c r="E8" s="3">
        <v>2.60435135790432E-9</v>
      </c>
      <c r="F8" s="3">
        <f t="shared" si="0"/>
        <v>1.1436886150424755E-12</v>
      </c>
      <c r="G8" s="4">
        <f t="shared" si="1"/>
        <v>-4.9769587211216884</v>
      </c>
    </row>
    <row r="9" spans="1:7" x14ac:dyDescent="0.55000000000000004">
      <c r="A9">
        <v>14</v>
      </c>
      <c r="B9" s="3">
        <v>2.7434104842780299E-9</v>
      </c>
      <c r="C9" s="3">
        <v>2.7338872897647201E-9</v>
      </c>
      <c r="D9" s="3">
        <v>2.7434104842781002E-9</v>
      </c>
      <c r="E9" s="3">
        <v>2.7439324521876801E-9</v>
      </c>
      <c r="F9" s="3">
        <f t="shared" si="0"/>
        <v>2.5628812191956316E-12</v>
      </c>
      <c r="G9" s="4">
        <f t="shared" si="1"/>
        <v>0.36608635955856739</v>
      </c>
    </row>
    <row r="10" spans="1:7" x14ac:dyDescent="0.55000000000000004">
      <c r="A10">
        <v>15</v>
      </c>
      <c r="B10" s="3">
        <v>2.8544296585728398E-9</v>
      </c>
      <c r="C10" s="3">
        <v>2.6983004517573301E-9</v>
      </c>
      <c r="D10" s="3">
        <v>2.8544296585729999E-9</v>
      </c>
      <c r="E10" s="3">
        <v>2.85514829871635E-9</v>
      </c>
      <c r="F10" s="3">
        <f t="shared" si="0"/>
        <v>5.6074056002146692E-12</v>
      </c>
      <c r="G10" s="4">
        <f t="shared" si="1"/>
        <v>5.493509637644296</v>
      </c>
    </row>
    <row r="11" spans="1:7" x14ac:dyDescent="0.55000000000000004">
      <c r="A11">
        <v>16</v>
      </c>
      <c r="B11" s="3">
        <v>2.7620502352082199E-9</v>
      </c>
      <c r="C11" s="3">
        <v>2.7292255530463299E-9</v>
      </c>
      <c r="D11" s="3">
        <v>2.76205023521E-9</v>
      </c>
      <c r="E11" s="3">
        <v>2.7625967931786598E-9</v>
      </c>
      <c r="F11" s="3">
        <f t="shared" si="0"/>
        <v>6.4448236875705274E-11</v>
      </c>
      <c r="G11" s="4">
        <f t="shared" si="1"/>
        <v>1.2079663675397498</v>
      </c>
    </row>
    <row r="12" spans="1:7" x14ac:dyDescent="0.55000000000000004">
      <c r="A12">
        <v>17</v>
      </c>
      <c r="B12" s="3">
        <v>2.7223422074990402E-9</v>
      </c>
      <c r="C12" s="3">
        <v>2.7538569520165399E-9</v>
      </c>
      <c r="D12" s="3">
        <v>2.7223422074894498E-9</v>
      </c>
      <c r="E12" s="3">
        <v>2.72296595171554E-9</v>
      </c>
      <c r="F12" s="3">
        <f t="shared" si="0"/>
        <v>-3.5228238373396959E-10</v>
      </c>
      <c r="G12" s="4">
        <f t="shared" si="1"/>
        <v>-1.1344614970869433</v>
      </c>
    </row>
    <row r="13" spans="1:7" x14ac:dyDescent="0.55000000000000004">
      <c r="A13">
        <v>18</v>
      </c>
      <c r="B13" s="3">
        <v>2.7751313061152901E-9</v>
      </c>
      <c r="C13" s="3">
        <v>2.7497064382033499E-9</v>
      </c>
      <c r="D13" s="3">
        <v>2.7751313061144398E-9</v>
      </c>
      <c r="E13" s="3">
        <v>2.77573287222272E-9</v>
      </c>
      <c r="F13" s="3">
        <f t="shared" si="0"/>
        <v>-3.0641493172988132E-11</v>
      </c>
      <c r="G13" s="4">
        <f t="shared" si="1"/>
        <v>0.93764188477289934</v>
      </c>
    </row>
    <row r="14" spans="1:7" x14ac:dyDescent="0.55000000000000004">
      <c r="A14">
        <v>19</v>
      </c>
      <c r="B14" s="3">
        <v>2.7560272837689098E-9</v>
      </c>
      <c r="C14" s="3">
        <v>2.7404234564615402E-9</v>
      </c>
      <c r="D14" s="3">
        <v>2.7560272837714402E-9</v>
      </c>
      <c r="E14" s="3">
        <v>2.7565712845452698E-9</v>
      </c>
      <c r="F14" s="3">
        <f t="shared" si="0"/>
        <v>9.1811336872438442E-11</v>
      </c>
      <c r="G14" s="4">
        <f t="shared" si="1"/>
        <v>0.58579395984651406</v>
      </c>
    </row>
    <row r="15" spans="1:7" x14ac:dyDescent="0.55000000000000004">
      <c r="A15">
        <v>20</v>
      </c>
      <c r="B15" s="3">
        <v>2.6829739468141001E-9</v>
      </c>
      <c r="C15" s="3">
        <v>2.7254297745274302E-9</v>
      </c>
      <c r="D15" s="3">
        <v>2.6829739468140199E-9</v>
      </c>
      <c r="E15" s="3">
        <v>2.6834928010822201E-9</v>
      </c>
      <c r="F15" s="3">
        <f t="shared" si="0"/>
        <v>-2.9905813849934327E-12</v>
      </c>
      <c r="G15" s="4">
        <f t="shared" si="1"/>
        <v>-1.5627757014402042</v>
      </c>
    </row>
    <row r="16" spans="1:7" x14ac:dyDescent="0.55000000000000004">
      <c r="A16">
        <v>21</v>
      </c>
      <c r="B16" s="3">
        <v>2.7767961674557701E-9</v>
      </c>
      <c r="C16" s="3">
        <v>2.72978244012819E-9</v>
      </c>
      <c r="D16" s="3">
        <v>2.7767983622162E-9</v>
      </c>
      <c r="E16" s="3">
        <v>2.7772891739040599E-9</v>
      </c>
      <c r="F16" s="3">
        <f t="shared" si="0"/>
        <v>7.903924388973687E-5</v>
      </c>
      <c r="G16" s="4">
        <f t="shared" si="1"/>
        <v>1.7105432960403348</v>
      </c>
    </row>
    <row r="17" spans="1:7" x14ac:dyDescent="0.55000000000000004">
      <c r="A17">
        <v>22</v>
      </c>
      <c r="B17" s="3">
        <v>2.74807927787862E-9</v>
      </c>
      <c r="C17" s="3">
        <v>2.74618092216749E-9</v>
      </c>
      <c r="D17" s="3">
        <v>2.7480800868963398E-9</v>
      </c>
      <c r="E17" s="3">
        <v>2.7486329769151299E-9</v>
      </c>
      <c r="F17" s="3">
        <f t="shared" si="0"/>
        <v>2.9439379283896259E-5</v>
      </c>
      <c r="G17" s="4">
        <f t="shared" si="1"/>
        <v>8.9209973402556805E-2</v>
      </c>
    </row>
    <row r="18" spans="1:7" x14ac:dyDescent="0.55000000000000004">
      <c r="A18">
        <v>23</v>
      </c>
      <c r="B18" s="3">
        <v>2.70140597476708E-9</v>
      </c>
      <c r="C18" s="3">
        <v>2.7415241059349199E-9</v>
      </c>
      <c r="D18" s="3">
        <v>2.7014059747679701E-9</v>
      </c>
      <c r="E18" s="3">
        <v>2.7019512784553598E-9</v>
      </c>
      <c r="F18" s="3">
        <f t="shared" si="0"/>
        <v>3.2947522416859464E-11</v>
      </c>
      <c r="G18" s="4">
        <f t="shared" si="1"/>
        <v>-1.464601815550979</v>
      </c>
    </row>
    <row r="19" spans="1:7" x14ac:dyDescent="0.55000000000000004">
      <c r="A19">
        <v>24</v>
      </c>
      <c r="B19" s="3">
        <v>2.7334747105585001E-9</v>
      </c>
      <c r="C19" s="3">
        <v>2.74048942955109E-9</v>
      </c>
      <c r="D19" s="3">
        <v>2.7334747105586101E-9</v>
      </c>
      <c r="E19" s="3">
        <v>2.7340489149327898E-9</v>
      </c>
      <c r="F19" s="3">
        <f t="shared" si="0"/>
        <v>4.0247316371575328E-12</v>
      </c>
      <c r="G19" s="4">
        <f t="shared" si="1"/>
        <v>-0.23556691261533141</v>
      </c>
    </row>
    <row r="20" spans="1:7" x14ac:dyDescent="0.55000000000000004">
      <c r="A20">
        <v>25</v>
      </c>
      <c r="B20" s="3">
        <v>2.7474127687172098E-9</v>
      </c>
      <c r="C20" s="3">
        <v>2.72937067942081E-9</v>
      </c>
      <c r="D20" s="3">
        <v>2.7474127687152602E-9</v>
      </c>
      <c r="E20" s="3">
        <v>2.7479090344479002E-9</v>
      </c>
      <c r="F20" s="3">
        <f t="shared" si="0"/>
        <v>-7.0963661739811476E-11</v>
      </c>
      <c r="G20" s="4">
        <f t="shared" si="1"/>
        <v>0.67463496042600468</v>
      </c>
    </row>
    <row r="21" spans="1:7" x14ac:dyDescent="0.55000000000000004">
      <c r="A21">
        <v>26</v>
      </c>
      <c r="B21" s="3">
        <v>2.7307455019767401E-9</v>
      </c>
      <c r="C21" s="3">
        <v>2.7362125407040202E-9</v>
      </c>
      <c r="D21" s="3">
        <v>2.73074550202129E-9</v>
      </c>
      <c r="E21" s="3">
        <v>2.73133379429491E-9</v>
      </c>
      <c r="F21" s="3">
        <f t="shared" si="0"/>
        <v>1.6314182265465235E-9</v>
      </c>
      <c r="G21" s="4">
        <f t="shared" si="1"/>
        <v>-0.17862139073959871</v>
      </c>
    </row>
    <row r="22" spans="1:7" x14ac:dyDescent="0.55000000000000004">
      <c r="A22">
        <v>27</v>
      </c>
      <c r="B22" s="3">
        <v>2.7436991417710998E-9</v>
      </c>
      <c r="C22" s="3">
        <v>2.7394479355556599E-9</v>
      </c>
      <c r="D22" s="3">
        <v>2.7436991417707801E-9</v>
      </c>
      <c r="E22" s="3">
        <v>2.7442148768135301E-9</v>
      </c>
      <c r="F22" s="3">
        <f t="shared" si="0"/>
        <v>-1.1652345619257941E-11</v>
      </c>
      <c r="G22" s="4">
        <f t="shared" si="1"/>
        <v>0.17370874628466987</v>
      </c>
    </row>
    <row r="23" spans="1:7" x14ac:dyDescent="0.55000000000000004">
      <c r="A23">
        <v>28</v>
      </c>
      <c r="B23" s="3">
        <v>2.7407353510398301E-9</v>
      </c>
      <c r="C23" s="3">
        <v>2.7411679215752499E-9</v>
      </c>
      <c r="D23" s="3">
        <v>2.74073535104135E-9</v>
      </c>
      <c r="E23" s="3">
        <v>2.7412452898395999E-9</v>
      </c>
      <c r="F23" s="3">
        <f t="shared" si="0"/>
        <v>5.5457538977219429E-11</v>
      </c>
      <c r="G23" s="4">
        <f t="shared" si="1"/>
        <v>2.8223765540711415E-3</v>
      </c>
    </row>
    <row r="24" spans="1:7" x14ac:dyDescent="0.55000000000000004">
      <c r="A24">
        <v>29</v>
      </c>
      <c r="B24" s="3">
        <v>2.7387395922182999E-9</v>
      </c>
      <c r="C24" s="3">
        <v>2.73796913256512E-9</v>
      </c>
      <c r="D24" s="3">
        <v>2.73873959209197E-9</v>
      </c>
      <c r="E24" s="3">
        <v>2.7392352036243198E-9</v>
      </c>
      <c r="F24" s="3">
        <f t="shared" si="0"/>
        <v>-4.6127028157776025E-9</v>
      </c>
      <c r="G24" s="4">
        <f t="shared" si="1"/>
        <v>4.6219873982513829E-2</v>
      </c>
    </row>
    <row r="25" spans="1:7" x14ac:dyDescent="0.55000000000000004">
      <c r="A25">
        <v>30</v>
      </c>
      <c r="B25" s="3">
        <v>2.7455115551449601E-9</v>
      </c>
      <c r="C25" s="3">
        <v>2.7329970412231499E-9</v>
      </c>
      <c r="D25" s="3">
        <v>2.7455115551455002E-9</v>
      </c>
      <c r="E25" s="3">
        <v>2.74602066766826E-9</v>
      </c>
      <c r="F25" s="3">
        <f t="shared" si="0"/>
        <v>1.9673890608284164E-11</v>
      </c>
      <c r="G25" s="4">
        <f t="shared" si="1"/>
        <v>0.47427270298620577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time-dependence</vt:lpstr>
      <vt:lpstr>errors</vt:lpstr>
      <vt:lpstr>CPU-energy</vt:lpstr>
      <vt:lpstr>CPU-volume</vt:lpstr>
      <vt:lpstr>GPU-energy</vt:lpstr>
      <vt:lpstr>GPU-volume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Antero Voutilainen</dc:creator>
  <cp:lastModifiedBy>Antero Voutilainen</cp:lastModifiedBy>
  <dcterms:created xsi:type="dcterms:W3CDTF">2026-04-22T10:22:11Z</dcterms:created>
  <dcterms:modified xsi:type="dcterms:W3CDTF">2026-05-11T04:57:40Z</dcterms:modified>
</cp:coreProperties>
</file>